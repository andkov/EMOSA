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240" yWindow="225" windowWidth="13920" windowHeight="6420" tabRatio="742"/>
  </bookViews>
  <sheets>
    <sheet name="Combine" sheetId="22" r:id="rId1"/>
    <sheet name="Diffusion" sheetId="41" r:id="rId2"/>
    <sheet name="Contagion" sheetId="40" r:id="rId3"/>
    <sheet name="Hybrid" sheetId="39" r:id="rId4"/>
    <sheet name="H.1980" sheetId="24" r:id="rId5"/>
    <sheet name="H.1981" sheetId="25" r:id="rId6"/>
    <sheet name="H.1982" sheetId="26" r:id="rId7"/>
    <sheet name="H.1983" sheetId="27" r:id="rId8"/>
    <sheet name="H.1984" sheetId="28" r:id="rId9"/>
    <sheet name="C.1980" sheetId="29" r:id="rId10"/>
    <sheet name="C.1981" sheetId="30" r:id="rId11"/>
    <sheet name="C.1982" sheetId="31" r:id="rId12"/>
    <sheet name="C.1983" sheetId="32" r:id="rId13"/>
    <sheet name="C.1984" sheetId="33" r:id="rId14"/>
    <sheet name="D.1980" sheetId="34" r:id="rId15"/>
    <sheet name="D.1981" sheetId="35" r:id="rId16"/>
    <sheet name="D.1982" sheetId="36" r:id="rId17"/>
    <sheet name="D.1983" sheetId="37" r:id="rId18"/>
    <sheet name="D.1984" sheetId="38" r:id="rId19"/>
  </sheets>
  <externalReferences>
    <externalReference r:id="rId20"/>
  </externalReferences>
  <definedNames>
    <definedName name="_1980solution" localSheetId="9">C.1980!$A$1:$I$55</definedName>
    <definedName name="_1980solution" localSheetId="14">D.1980!$A$1:$I$55</definedName>
    <definedName name="_1980solution" localSheetId="4">H.1980!$A$1:$I$75</definedName>
    <definedName name="_1981solution" localSheetId="10">C.1981!$A$1:$I$55</definedName>
    <definedName name="_1981solution" localSheetId="15">D.1981!$A$1:$I$55</definedName>
    <definedName name="_1981solution" localSheetId="5">H.1981!$A$1:$I$75</definedName>
    <definedName name="_1982solution" localSheetId="11">C.1982!$A$1:$I$55</definedName>
    <definedName name="_1982solution" localSheetId="16">D.1982!$A$1:$I$55</definedName>
    <definedName name="_1982solution" localSheetId="6">H.1982!$A$1:$I$75</definedName>
    <definedName name="_1983solution" localSheetId="12">C.1983!$A$1:$I$57</definedName>
    <definedName name="_1983solution" localSheetId="17">D.1983!$A$1:$I$57</definedName>
    <definedName name="_1983solution" localSheetId="7">H.1983!$A$1:$I$77</definedName>
    <definedName name="_1984solution" localSheetId="13">C.1984!$A$1:$I$57</definedName>
    <definedName name="_1984solution" localSheetId="18">D.1984!$A$1:$I$57</definedName>
    <definedName name="_1984solution" localSheetId="8">H.1984!$A$1:$I$75</definedName>
  </definedNames>
  <calcPr calcId="145621"/>
</workbook>
</file>

<file path=xl/calcChain.xml><?xml version="1.0" encoding="utf-8"?>
<calcChain xmlns="http://schemas.openxmlformats.org/spreadsheetml/2006/main">
  <c r="AP1" i="4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AP1" i="40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AP1" i="39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Z19" i="22" l="1"/>
  <c r="Q18"/>
  <c r="R19"/>
  <c r="AF21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AP3"/>
  <c r="AN3"/>
  <c r="AO3"/>
  <c r="AF3"/>
  <c r="AG3"/>
  <c r="AH3"/>
  <c r="AI3"/>
  <c r="AJ3"/>
  <c r="AK3"/>
  <c r="AL3"/>
  <c r="AM3"/>
  <c r="AE3"/>
  <c r="AD3"/>
  <c r="T3"/>
  <c r="U3"/>
  <c r="V3"/>
  <c r="W3"/>
  <c r="X3"/>
  <c r="Y3"/>
  <c r="Z3"/>
  <c r="AA3"/>
  <c r="AB3"/>
  <c r="AC3"/>
  <c r="S3"/>
  <c r="L53" i="38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L7"/>
  <c r="Q6" i="41" s="1"/>
  <c r="L6" i="38"/>
  <c r="P6" i="41" s="1"/>
  <c r="L5" i="38"/>
  <c r="O6" i="41" s="1"/>
  <c r="L4" i="38"/>
  <c r="L3"/>
  <c r="L2"/>
  <c r="L1"/>
  <c r="L53" i="37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Z14" i="22" s="1"/>
  <c r="L18" i="37"/>
  <c r="K18"/>
  <c r="AB14" i="22" s="1"/>
  <c r="L7" i="37"/>
  <c r="Q5" i="41" s="1"/>
  <c r="L6" i="37"/>
  <c r="P5" i="41" s="1"/>
  <c r="L5" i="37"/>
  <c r="O5" i="41" s="1"/>
  <c r="L4" i="37"/>
  <c r="L3"/>
  <c r="L2"/>
  <c r="L1"/>
  <c r="L53" i="36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AA13" i="22" s="1"/>
  <c r="L18" i="36"/>
  <c r="K18"/>
  <c r="L7"/>
  <c r="Q4" i="41" s="1"/>
  <c r="L6" i="36"/>
  <c r="P4" i="41" s="1"/>
  <c r="L5" i="36"/>
  <c r="O4" i="41" s="1"/>
  <c r="L4" i="36"/>
  <c r="L3"/>
  <c r="L2"/>
  <c r="L1"/>
  <c r="L53" i="35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Y12" i="22" s="1"/>
  <c r="L7" i="35"/>
  <c r="Q3" i="41" s="1"/>
  <c r="L6" i="35"/>
  <c r="P3" i="41" s="1"/>
  <c r="L5" i="35"/>
  <c r="O3" i="41" s="1"/>
  <c r="L4" i="35"/>
  <c r="L3"/>
  <c r="L2"/>
  <c r="L1"/>
  <c r="L53" i="34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Z11" i="22" s="1"/>
  <c r="L7" i="34"/>
  <c r="Q2" i="41" s="1"/>
  <c r="L6" i="34"/>
  <c r="P2" i="41" s="1"/>
  <c r="L5" i="34"/>
  <c r="O2" i="41" s="1"/>
  <c r="L4" i="34"/>
  <c r="L3"/>
  <c r="L2"/>
  <c r="L1"/>
  <c r="L53" i="33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V22" i="22" s="1"/>
  <c r="L7" i="33"/>
  <c r="Q6" i="40" s="1"/>
  <c r="L6" i="33"/>
  <c r="P6" i="40" s="1"/>
  <c r="L5" i="33"/>
  <c r="O6" i="40" s="1"/>
  <c r="L4" i="33"/>
  <c r="L3"/>
  <c r="L2"/>
  <c r="L1"/>
  <c r="L53" i="32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AJ21" i="22" s="1"/>
  <c r="K31" i="32"/>
  <c r="L30"/>
  <c r="K30"/>
  <c r="L25"/>
  <c r="K25"/>
  <c r="L24"/>
  <c r="K24"/>
  <c r="L23"/>
  <c r="K23"/>
  <c r="L22"/>
  <c r="K22"/>
  <c r="L21"/>
  <c r="K21"/>
  <c r="L20"/>
  <c r="K20"/>
  <c r="L19"/>
  <c r="H21" i="22" s="1"/>
  <c r="K19" i="32"/>
  <c r="L18"/>
  <c r="K18"/>
  <c r="AB21" i="22" s="1"/>
  <c r="L7" i="32"/>
  <c r="Q5" i="40" s="1"/>
  <c r="L6" i="32"/>
  <c r="P5" i="40" s="1"/>
  <c r="L5" i="32"/>
  <c r="O5" i="40" s="1"/>
  <c r="L4" i="32"/>
  <c r="L3"/>
  <c r="L2"/>
  <c r="L1"/>
  <c r="L53" i="31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K32"/>
  <c r="L31"/>
  <c r="K31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L7"/>
  <c r="Q4" i="40" s="1"/>
  <c r="L6" i="31"/>
  <c r="P4" i="40" s="1"/>
  <c r="L5" i="31"/>
  <c r="O4" i="40" s="1"/>
  <c r="L4" i="31"/>
  <c r="L3"/>
  <c r="L2"/>
  <c r="L1"/>
  <c r="L53" i="30"/>
  <c r="L49"/>
  <c r="K49"/>
  <c r="L48"/>
  <c r="K48"/>
  <c r="L47"/>
  <c r="K47"/>
  <c r="L46"/>
  <c r="K46"/>
  <c r="L45"/>
  <c r="K45"/>
  <c r="L44"/>
  <c r="K44"/>
  <c r="L43"/>
  <c r="K43"/>
  <c r="L42"/>
  <c r="K42"/>
  <c r="L37"/>
  <c r="K37"/>
  <c r="L36"/>
  <c r="K36"/>
  <c r="L35"/>
  <c r="K35"/>
  <c r="L34"/>
  <c r="K34"/>
  <c r="L33"/>
  <c r="K33"/>
  <c r="L32"/>
  <c r="AF19" i="22" s="1"/>
  <c r="K32" i="30"/>
  <c r="L31"/>
  <c r="AJ19" i="22" s="1"/>
  <c r="K31" i="30"/>
  <c r="L30"/>
  <c r="K30"/>
  <c r="L25"/>
  <c r="K25"/>
  <c r="L24"/>
  <c r="K24"/>
  <c r="L23"/>
  <c r="K23"/>
  <c r="L22"/>
  <c r="K22"/>
  <c r="L21"/>
  <c r="K21"/>
  <c r="L20"/>
  <c r="K20"/>
  <c r="L19"/>
  <c r="H19" i="22" s="1"/>
  <c r="K19" i="30"/>
  <c r="L18"/>
  <c r="K18"/>
  <c r="AD19" i="22" s="1"/>
  <c r="L7" i="30"/>
  <c r="Q3" i="40" s="1"/>
  <c r="L6" i="30"/>
  <c r="P3" i="40" s="1"/>
  <c r="L5" i="30"/>
  <c r="O3" i="40" s="1"/>
  <c r="L4" i="30"/>
  <c r="L3"/>
  <c r="L2"/>
  <c r="L1"/>
  <c r="L53" i="29"/>
  <c r="K43"/>
  <c r="L43"/>
  <c r="K44"/>
  <c r="L44"/>
  <c r="K45"/>
  <c r="L45"/>
  <c r="K46"/>
  <c r="L46"/>
  <c r="K47"/>
  <c r="L47"/>
  <c r="K48"/>
  <c r="L48"/>
  <c r="K49"/>
  <c r="L49"/>
  <c r="L42"/>
  <c r="K42"/>
  <c r="K31"/>
  <c r="L31"/>
  <c r="K32"/>
  <c r="L32"/>
  <c r="K33"/>
  <c r="L33"/>
  <c r="K34"/>
  <c r="L34"/>
  <c r="K35"/>
  <c r="L35"/>
  <c r="K36"/>
  <c r="L36"/>
  <c r="K37"/>
  <c r="L37"/>
  <c r="L30"/>
  <c r="K30"/>
  <c r="L25"/>
  <c r="K25"/>
  <c r="L24"/>
  <c r="K24"/>
  <c r="L23"/>
  <c r="K23"/>
  <c r="L22"/>
  <c r="K22"/>
  <c r="L21"/>
  <c r="K21"/>
  <c r="L20"/>
  <c r="K20"/>
  <c r="L19"/>
  <c r="K19"/>
  <c r="L18"/>
  <c r="K18"/>
  <c r="L7"/>
  <c r="Q2" i="40" s="1"/>
  <c r="L6" i="29"/>
  <c r="P2" i="40" s="1"/>
  <c r="L5" i="29"/>
  <c r="O2" i="40" s="1"/>
  <c r="L4" i="29"/>
  <c r="L3"/>
  <c r="L2"/>
  <c r="L1"/>
  <c r="L71" i="28"/>
  <c r="L67"/>
  <c r="K67"/>
  <c r="L66"/>
  <c r="K66"/>
  <c r="L65"/>
  <c r="K65"/>
  <c r="L64"/>
  <c r="K64"/>
  <c r="L63"/>
  <c r="K63"/>
  <c r="L62"/>
  <c r="K62"/>
  <c r="L61"/>
  <c r="K61"/>
  <c r="L60"/>
  <c r="K60"/>
  <c r="L59"/>
  <c r="K59"/>
  <c r="L58"/>
  <c r="K58"/>
  <c r="L57"/>
  <c r="K57"/>
  <c r="L56"/>
  <c r="K56"/>
  <c r="L55"/>
  <c r="K55"/>
  <c r="L54"/>
  <c r="K54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L40"/>
  <c r="K40"/>
  <c r="L39"/>
  <c r="K39"/>
  <c r="L38"/>
  <c r="K38"/>
  <c r="L37"/>
  <c r="K37"/>
  <c r="L36"/>
  <c r="K36"/>
  <c r="L31"/>
  <c r="K31"/>
  <c r="L30"/>
  <c r="K30"/>
  <c r="L29"/>
  <c r="K29"/>
  <c r="L28"/>
  <c r="K28"/>
  <c r="L27"/>
  <c r="K27"/>
  <c r="L26"/>
  <c r="K26"/>
  <c r="L25"/>
  <c r="K25"/>
  <c r="L24"/>
  <c r="K24"/>
  <c r="L23"/>
  <c r="K23"/>
  <c r="L22"/>
  <c r="K22"/>
  <c r="L21"/>
  <c r="K21"/>
  <c r="L20"/>
  <c r="K20"/>
  <c r="L19"/>
  <c r="K19"/>
  <c r="L18"/>
  <c r="K18"/>
  <c r="L7"/>
  <c r="Q6" i="39" s="1"/>
  <c r="L6" i="28"/>
  <c r="P6" i="39" s="1"/>
  <c r="L5" i="28"/>
  <c r="O6" i="39" s="1"/>
  <c r="L4" i="28"/>
  <c r="L3"/>
  <c r="L2"/>
  <c r="L1"/>
  <c r="L71" i="27"/>
  <c r="L67"/>
  <c r="K67"/>
  <c r="L66"/>
  <c r="K66"/>
  <c r="L65"/>
  <c r="K65"/>
  <c r="L64"/>
  <c r="K64"/>
  <c r="L63"/>
  <c r="K63"/>
  <c r="L62"/>
  <c r="K62"/>
  <c r="L61"/>
  <c r="K61"/>
  <c r="L60"/>
  <c r="K60"/>
  <c r="L59"/>
  <c r="K59"/>
  <c r="L58"/>
  <c r="K58"/>
  <c r="L57"/>
  <c r="K57"/>
  <c r="L56"/>
  <c r="K56"/>
  <c r="L55"/>
  <c r="K55"/>
  <c r="L54"/>
  <c r="K54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L40"/>
  <c r="K40"/>
  <c r="L39"/>
  <c r="K39"/>
  <c r="L38"/>
  <c r="K38"/>
  <c r="L37"/>
  <c r="K37"/>
  <c r="L36"/>
  <c r="K36"/>
  <c r="L31"/>
  <c r="K31"/>
  <c r="L30"/>
  <c r="K30"/>
  <c r="L29"/>
  <c r="K29"/>
  <c r="L28"/>
  <c r="K28"/>
  <c r="L27"/>
  <c r="K27"/>
  <c r="L26"/>
  <c r="K26"/>
  <c r="L25"/>
  <c r="K25"/>
  <c r="L24"/>
  <c r="K24"/>
  <c r="L23"/>
  <c r="K23"/>
  <c r="L22"/>
  <c r="K22"/>
  <c r="L21"/>
  <c r="K21"/>
  <c r="L20"/>
  <c r="K20"/>
  <c r="L19"/>
  <c r="K19"/>
  <c r="L18"/>
  <c r="K18"/>
  <c r="L7"/>
  <c r="Q5" i="39" s="1"/>
  <c r="L6" i="27"/>
  <c r="P5" i="39" s="1"/>
  <c r="L5" i="27"/>
  <c r="O5" i="39" s="1"/>
  <c r="L4" i="27"/>
  <c r="L3"/>
  <c r="L2"/>
  <c r="L1"/>
  <c r="L71" i="26"/>
  <c r="L67"/>
  <c r="K67"/>
  <c r="L66"/>
  <c r="K66"/>
  <c r="L65"/>
  <c r="K65"/>
  <c r="L64"/>
  <c r="K64"/>
  <c r="L63"/>
  <c r="K63"/>
  <c r="L62"/>
  <c r="K62"/>
  <c r="L61"/>
  <c r="K61"/>
  <c r="L60"/>
  <c r="K60"/>
  <c r="L59"/>
  <c r="K59"/>
  <c r="L58"/>
  <c r="K58"/>
  <c r="L57"/>
  <c r="K57"/>
  <c r="L56"/>
  <c r="K56"/>
  <c r="L55"/>
  <c r="K55"/>
  <c r="L54"/>
  <c r="K54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L40"/>
  <c r="K40"/>
  <c r="L39"/>
  <c r="K39"/>
  <c r="L38"/>
  <c r="K38"/>
  <c r="L37"/>
  <c r="K37"/>
  <c r="L36"/>
  <c r="K36"/>
  <c r="L31"/>
  <c r="K31"/>
  <c r="L30"/>
  <c r="K30"/>
  <c r="L29"/>
  <c r="K29"/>
  <c r="L28"/>
  <c r="K28"/>
  <c r="L27"/>
  <c r="K27"/>
  <c r="L26"/>
  <c r="K26"/>
  <c r="L25"/>
  <c r="K25"/>
  <c r="L24"/>
  <c r="K24"/>
  <c r="L23"/>
  <c r="K23"/>
  <c r="L22"/>
  <c r="K22"/>
  <c r="L21"/>
  <c r="K21"/>
  <c r="L20"/>
  <c r="K20"/>
  <c r="L19"/>
  <c r="K19"/>
  <c r="V6" i="22" s="1"/>
  <c r="L18" i="26"/>
  <c r="K18"/>
  <c r="L7"/>
  <c r="Q4" i="39" s="1"/>
  <c r="L6" i="26"/>
  <c r="P4" i="39" s="1"/>
  <c r="L5" i="26"/>
  <c r="O4" i="39" s="1"/>
  <c r="L4" i="26"/>
  <c r="L3"/>
  <c r="L2"/>
  <c r="L1"/>
  <c r="L71" i="25"/>
  <c r="L67"/>
  <c r="K67"/>
  <c r="L66"/>
  <c r="K66"/>
  <c r="L65"/>
  <c r="K65"/>
  <c r="L64"/>
  <c r="K64"/>
  <c r="L63"/>
  <c r="K63"/>
  <c r="L62"/>
  <c r="K62"/>
  <c r="L61"/>
  <c r="K61"/>
  <c r="L60"/>
  <c r="K60"/>
  <c r="L59"/>
  <c r="K59"/>
  <c r="L58"/>
  <c r="K58"/>
  <c r="L57"/>
  <c r="K57"/>
  <c r="L56"/>
  <c r="K56"/>
  <c r="L55"/>
  <c r="K55"/>
  <c r="L54"/>
  <c r="K54"/>
  <c r="L49"/>
  <c r="K49"/>
  <c r="L48"/>
  <c r="K48"/>
  <c r="L47"/>
  <c r="K47"/>
  <c r="L46"/>
  <c r="K46"/>
  <c r="L45"/>
  <c r="K45"/>
  <c r="L44"/>
  <c r="K44"/>
  <c r="L43"/>
  <c r="K43"/>
  <c r="L42"/>
  <c r="K42"/>
  <c r="L41"/>
  <c r="K41"/>
  <c r="L40"/>
  <c r="K40"/>
  <c r="L39"/>
  <c r="K39"/>
  <c r="L38"/>
  <c r="K38"/>
  <c r="L37"/>
  <c r="K37"/>
  <c r="L36"/>
  <c r="K36"/>
  <c r="L31"/>
  <c r="K31"/>
  <c r="L30"/>
  <c r="K30"/>
  <c r="L29"/>
  <c r="K29"/>
  <c r="L28"/>
  <c r="K28"/>
  <c r="L27"/>
  <c r="K27"/>
  <c r="L26"/>
  <c r="K26"/>
  <c r="L25"/>
  <c r="K25"/>
  <c r="L24"/>
  <c r="K24"/>
  <c r="L23"/>
  <c r="K23"/>
  <c r="L22"/>
  <c r="K22"/>
  <c r="L21"/>
  <c r="K21"/>
  <c r="L20"/>
  <c r="K20"/>
  <c r="L19"/>
  <c r="K19"/>
  <c r="L18"/>
  <c r="K18"/>
  <c r="F5" i="22" s="1"/>
  <c r="L7" i="25"/>
  <c r="Q3" i="39" s="1"/>
  <c r="L6" i="25"/>
  <c r="P3" i="39" s="1"/>
  <c r="L5" i="25"/>
  <c r="O3" i="39" s="1"/>
  <c r="L4" i="25"/>
  <c r="L3"/>
  <c r="L2"/>
  <c r="L1"/>
  <c r="L71" i="24"/>
  <c r="K55"/>
  <c r="L55"/>
  <c r="K56"/>
  <c r="L56"/>
  <c r="K57"/>
  <c r="L57"/>
  <c r="K58"/>
  <c r="L58"/>
  <c r="K59"/>
  <c r="L59"/>
  <c r="K60"/>
  <c r="L60"/>
  <c r="K61"/>
  <c r="L61"/>
  <c r="K62"/>
  <c r="L62"/>
  <c r="K63"/>
  <c r="L63"/>
  <c r="K64"/>
  <c r="L64"/>
  <c r="K65"/>
  <c r="L65"/>
  <c r="K66"/>
  <c r="L66"/>
  <c r="K67"/>
  <c r="L67"/>
  <c r="L54"/>
  <c r="K54"/>
  <c r="L37"/>
  <c r="L38"/>
  <c r="L39"/>
  <c r="L40"/>
  <c r="L41"/>
  <c r="L42"/>
  <c r="L43"/>
  <c r="L44"/>
  <c r="L45"/>
  <c r="L46"/>
  <c r="L47"/>
  <c r="L48"/>
  <c r="L49"/>
  <c r="L36"/>
  <c r="K37"/>
  <c r="K38"/>
  <c r="K39"/>
  <c r="K40"/>
  <c r="K41"/>
  <c r="K42"/>
  <c r="K43"/>
  <c r="K44"/>
  <c r="K45"/>
  <c r="K46"/>
  <c r="K47"/>
  <c r="K48"/>
  <c r="K49"/>
  <c r="K36"/>
  <c r="L4"/>
  <c r="L3"/>
  <c r="L2"/>
  <c r="L1"/>
  <c r="K19"/>
  <c r="L19"/>
  <c r="K20"/>
  <c r="L20"/>
  <c r="K21"/>
  <c r="L21"/>
  <c r="K22"/>
  <c r="L22"/>
  <c r="K23"/>
  <c r="L23"/>
  <c r="K24"/>
  <c r="L24"/>
  <c r="K25"/>
  <c r="L25"/>
  <c r="K26"/>
  <c r="L26"/>
  <c r="K27"/>
  <c r="L27"/>
  <c r="K28"/>
  <c r="L28"/>
  <c r="K29"/>
  <c r="L29"/>
  <c r="K30"/>
  <c r="L30"/>
  <c r="K31"/>
  <c r="L31"/>
  <c r="L18"/>
  <c r="K18"/>
  <c r="F4" i="22" s="1"/>
  <c r="L7" i="24"/>
  <c r="Q2" i="39" s="1"/>
  <c r="L6" i="24"/>
  <c r="P2" i="39" s="1"/>
  <c r="L5" i="24"/>
  <c r="O2" i="39" s="1"/>
  <c r="Q15" i="22" l="1"/>
  <c r="P15"/>
  <c r="P14"/>
  <c r="F14"/>
  <c r="AF14"/>
  <c r="T14"/>
  <c r="AN14"/>
  <c r="AJ14"/>
  <c r="X14"/>
  <c r="O13"/>
  <c r="V12"/>
  <c r="AH12"/>
  <c r="H12"/>
  <c r="R12"/>
  <c r="AD12"/>
  <c r="D12"/>
  <c r="AP12"/>
  <c r="Z12"/>
  <c r="AL12"/>
  <c r="AL11"/>
  <c r="G11"/>
  <c r="AH11"/>
  <c r="AF11"/>
  <c r="W11"/>
  <c r="AD11"/>
  <c r="AP11"/>
  <c r="AB11"/>
  <c r="E11"/>
  <c r="AJ11"/>
  <c r="S11"/>
  <c r="U11"/>
  <c r="AN11"/>
  <c r="AF22"/>
  <c r="H22"/>
  <c r="AJ22"/>
  <c r="Y22"/>
  <c r="R22"/>
  <c r="AN22"/>
  <c r="D22"/>
  <c r="AA22"/>
  <c r="V21"/>
  <c r="R21"/>
  <c r="AN21"/>
  <c r="D21"/>
  <c r="Q20"/>
  <c r="V19"/>
  <c r="AN19"/>
  <c r="D19"/>
  <c r="Y18"/>
  <c r="E8"/>
  <c r="O8"/>
  <c r="R8"/>
  <c r="F8"/>
  <c r="Q7"/>
  <c r="D7"/>
  <c r="O7"/>
  <c r="E6"/>
  <c r="F6"/>
  <c r="G6"/>
  <c r="K6"/>
  <c r="AI6"/>
  <c r="AM6"/>
  <c r="W6"/>
  <c r="AA6"/>
  <c r="C6"/>
  <c r="AE6"/>
  <c r="S6"/>
  <c r="G5"/>
  <c r="K5"/>
  <c r="M5"/>
  <c r="AI5"/>
  <c r="AM5"/>
  <c r="AO5"/>
  <c r="W5"/>
  <c r="AA5"/>
  <c r="AC5"/>
  <c r="C5"/>
  <c r="E5"/>
  <c r="I5"/>
  <c r="AE5"/>
  <c r="AG5"/>
  <c r="AK5"/>
  <c r="S5"/>
  <c r="U5"/>
  <c r="Y5"/>
  <c r="E4"/>
  <c r="R6" i="41"/>
  <c r="G6"/>
  <c r="F6"/>
  <c r="E6"/>
  <c r="H6"/>
  <c r="D6"/>
  <c r="C6"/>
  <c r="W6"/>
  <c r="AF6"/>
  <c r="AC6"/>
  <c r="AA6"/>
  <c r="AG6"/>
  <c r="AD6"/>
  <c r="AM6"/>
  <c r="AJ6"/>
  <c r="AK6"/>
  <c r="AI6"/>
  <c r="AH6"/>
  <c r="T6"/>
  <c r="AN6"/>
  <c r="AE6"/>
  <c r="S6"/>
  <c r="V6"/>
  <c r="AL6"/>
  <c r="X6"/>
  <c r="U6"/>
  <c r="AB6"/>
  <c r="Y6"/>
  <c r="Z6"/>
  <c r="AP6"/>
  <c r="AO6"/>
  <c r="U15" i="22"/>
  <c r="G15"/>
  <c r="AO15"/>
  <c r="AK15"/>
  <c r="AG15"/>
  <c r="AC15"/>
  <c r="Y15"/>
  <c r="X15"/>
  <c r="AN15"/>
  <c r="AF15"/>
  <c r="W15"/>
  <c r="S15"/>
  <c r="O15"/>
  <c r="E15"/>
  <c r="AM15"/>
  <c r="AI15"/>
  <c r="AE15"/>
  <c r="AA15"/>
  <c r="C15"/>
  <c r="T15"/>
  <c r="F15"/>
  <c r="AJ15"/>
  <c r="AB15"/>
  <c r="V15"/>
  <c r="R15"/>
  <c r="H15"/>
  <c r="D15"/>
  <c r="AP15"/>
  <c r="AL15"/>
  <c r="AH15"/>
  <c r="AD15"/>
  <c r="Z15"/>
  <c r="W14"/>
  <c r="S14"/>
  <c r="O14"/>
  <c r="E14"/>
  <c r="AM14"/>
  <c r="AI14"/>
  <c r="AE14"/>
  <c r="AA14"/>
  <c r="V14"/>
  <c r="R14"/>
  <c r="H14"/>
  <c r="D14"/>
  <c r="AP14"/>
  <c r="AL14"/>
  <c r="AH14"/>
  <c r="AD14"/>
  <c r="AM5" i="41"/>
  <c r="E5"/>
  <c r="R5"/>
  <c r="H5"/>
  <c r="D5"/>
  <c r="G5"/>
  <c r="C5"/>
  <c r="F5"/>
  <c r="V5"/>
  <c r="AL5"/>
  <c r="AI5"/>
  <c r="W5"/>
  <c r="X5"/>
  <c r="AN5"/>
  <c r="Z5"/>
  <c r="AP5"/>
  <c r="Y5"/>
  <c r="U5"/>
  <c r="AB5"/>
  <c r="AD5"/>
  <c r="S5"/>
  <c r="AG5"/>
  <c r="AC5"/>
  <c r="AF5"/>
  <c r="AH5"/>
  <c r="AA5"/>
  <c r="AO5"/>
  <c r="AE5"/>
  <c r="AK5"/>
  <c r="T5"/>
  <c r="AJ5"/>
  <c r="C14" i="22"/>
  <c r="U14"/>
  <c r="Q14"/>
  <c r="G14"/>
  <c r="AO14"/>
  <c r="AK14"/>
  <c r="AG14"/>
  <c r="AC14"/>
  <c r="Y14"/>
  <c r="W13"/>
  <c r="S13"/>
  <c r="E13"/>
  <c r="AN13"/>
  <c r="AJ13"/>
  <c r="AF13"/>
  <c r="AB13"/>
  <c r="V13"/>
  <c r="R13"/>
  <c r="H13"/>
  <c r="D13"/>
  <c r="AM13"/>
  <c r="AI13"/>
  <c r="AE13"/>
  <c r="E4" i="41"/>
  <c r="C4"/>
  <c r="R4"/>
  <c r="H4"/>
  <c r="D4"/>
  <c r="G4"/>
  <c r="F4"/>
  <c r="AA4"/>
  <c r="W4"/>
  <c r="AG4"/>
  <c r="U4"/>
  <c r="Z4"/>
  <c r="AP4"/>
  <c r="AF4"/>
  <c r="AI4"/>
  <c r="AE4"/>
  <c r="AO4"/>
  <c r="AC4"/>
  <c r="AD4"/>
  <c r="T4"/>
  <c r="AJ4"/>
  <c r="AM4"/>
  <c r="AK4"/>
  <c r="AH4"/>
  <c r="X4"/>
  <c r="AN4"/>
  <c r="S4"/>
  <c r="Y4"/>
  <c r="V4"/>
  <c r="AL4"/>
  <c r="AB4"/>
  <c r="C13" i="22"/>
  <c r="U13"/>
  <c r="Q13"/>
  <c r="G13"/>
  <c r="AP13"/>
  <c r="AL13"/>
  <c r="AH13"/>
  <c r="AD13"/>
  <c r="Z13"/>
  <c r="X13"/>
  <c r="T13"/>
  <c r="P13"/>
  <c r="F13"/>
  <c r="AO13"/>
  <c r="AK13"/>
  <c r="AG13"/>
  <c r="AC13"/>
  <c r="Y13"/>
  <c r="E3" i="41"/>
  <c r="R3"/>
  <c r="H3"/>
  <c r="D3"/>
  <c r="G3"/>
  <c r="C3"/>
  <c r="F3"/>
  <c r="W3"/>
  <c r="AA3"/>
  <c r="AN3"/>
  <c r="AE3"/>
  <c r="AI3"/>
  <c r="U3"/>
  <c r="Y3"/>
  <c r="AB3"/>
  <c r="AD3"/>
  <c r="AM3"/>
  <c r="AC3"/>
  <c r="AG3"/>
  <c r="AF3"/>
  <c r="AH3"/>
  <c r="S3"/>
  <c r="AK3"/>
  <c r="AO3"/>
  <c r="T3"/>
  <c r="AJ3"/>
  <c r="V3"/>
  <c r="AL3"/>
  <c r="X3"/>
  <c r="Z3"/>
  <c r="AP3"/>
  <c r="C12" i="22"/>
  <c r="U12"/>
  <c r="Q12"/>
  <c r="G12"/>
  <c r="AO12"/>
  <c r="AK12"/>
  <c r="AG12"/>
  <c r="AC12"/>
  <c r="X12"/>
  <c r="T12"/>
  <c r="P12"/>
  <c r="F12"/>
  <c r="AN12"/>
  <c r="AJ12"/>
  <c r="AF12"/>
  <c r="AB12"/>
  <c r="W12"/>
  <c r="S12"/>
  <c r="O12"/>
  <c r="E12"/>
  <c r="AM12"/>
  <c r="AI12"/>
  <c r="AE12"/>
  <c r="AA12"/>
  <c r="Q11"/>
  <c r="E2" i="41"/>
  <c r="R2"/>
  <c r="H2"/>
  <c r="D2"/>
  <c r="G2"/>
  <c r="C2"/>
  <c r="F2"/>
  <c r="AM2"/>
  <c r="AG2"/>
  <c r="AK2"/>
  <c r="Z2"/>
  <c r="AP2"/>
  <c r="AF2"/>
  <c r="AO2"/>
  <c r="AD2"/>
  <c r="T2"/>
  <c r="AJ2"/>
  <c r="AA2"/>
  <c r="AI2"/>
  <c r="S2"/>
  <c r="W2"/>
  <c r="U2"/>
  <c r="AH2"/>
  <c r="X2"/>
  <c r="AN2"/>
  <c r="AE2"/>
  <c r="Y2"/>
  <c r="AC2"/>
  <c r="V2"/>
  <c r="AL2"/>
  <c r="AB2"/>
  <c r="C11" i="22"/>
  <c r="X11"/>
  <c r="T11"/>
  <c r="P11"/>
  <c r="F11"/>
  <c r="AM11"/>
  <c r="AI11"/>
  <c r="AE11"/>
  <c r="AA11"/>
  <c r="O11"/>
  <c r="V11"/>
  <c r="R11"/>
  <c r="H11"/>
  <c r="D11"/>
  <c r="AO11"/>
  <c r="AK11"/>
  <c r="AG11"/>
  <c r="AC11"/>
  <c r="Y11"/>
  <c r="AI22"/>
  <c r="AE22"/>
  <c r="U22"/>
  <c r="G22"/>
  <c r="AD22"/>
  <c r="C22"/>
  <c r="AP22"/>
  <c r="AL22"/>
  <c r="AH22"/>
  <c r="X22"/>
  <c r="T22"/>
  <c r="P22"/>
  <c r="F22"/>
  <c r="AC22"/>
  <c r="G6" i="40"/>
  <c r="C6"/>
  <c r="R6"/>
  <c r="F6"/>
  <c r="H6"/>
  <c r="E6"/>
  <c r="D6"/>
  <c r="AB6"/>
  <c r="AJ6"/>
  <c r="X6"/>
  <c r="Y6"/>
  <c r="AO6"/>
  <c r="AH6"/>
  <c r="AE6"/>
  <c r="Z6"/>
  <c r="AA6"/>
  <c r="U6"/>
  <c r="S6"/>
  <c r="W6"/>
  <c r="AF6"/>
  <c r="AC6"/>
  <c r="V6"/>
  <c r="AL6"/>
  <c r="AI6"/>
  <c r="AN6"/>
  <c r="AG6"/>
  <c r="AP6"/>
  <c r="T6"/>
  <c r="AM6"/>
  <c r="AK6"/>
  <c r="AD6"/>
  <c r="AM22" i="22"/>
  <c r="Q22"/>
  <c r="Z22"/>
  <c r="AO22"/>
  <c r="AK22"/>
  <c r="AG22"/>
  <c r="W22"/>
  <c r="S22"/>
  <c r="O22"/>
  <c r="E22"/>
  <c r="AB22"/>
  <c r="E5" i="40"/>
  <c r="R5"/>
  <c r="H5"/>
  <c r="D5"/>
  <c r="G5"/>
  <c r="C5"/>
  <c r="F5"/>
  <c r="S5"/>
  <c r="AI5"/>
  <c r="AN5"/>
  <c r="AP5"/>
  <c r="V5"/>
  <c r="U5"/>
  <c r="AC5"/>
  <c r="AL5"/>
  <c r="AJ5"/>
  <c r="AO5"/>
  <c r="W5"/>
  <c r="AM5"/>
  <c r="T5"/>
  <c r="Y5"/>
  <c r="AD5"/>
  <c r="AF5"/>
  <c r="AH5"/>
  <c r="AA5"/>
  <c r="X5"/>
  <c r="AB5"/>
  <c r="AG5"/>
  <c r="Z5"/>
  <c r="AE5"/>
  <c r="AK5"/>
  <c r="AM21" i="22"/>
  <c r="AI21"/>
  <c r="AE21"/>
  <c r="U21"/>
  <c r="Q21"/>
  <c r="G21"/>
  <c r="AA21"/>
  <c r="C21"/>
  <c r="AP21"/>
  <c r="AL21"/>
  <c r="AH21"/>
  <c r="X21"/>
  <c r="T21"/>
  <c r="P21"/>
  <c r="F21"/>
  <c r="AD21"/>
  <c r="Z21"/>
  <c r="AO21"/>
  <c r="AK21"/>
  <c r="AG21"/>
  <c r="W21"/>
  <c r="S21"/>
  <c r="O21"/>
  <c r="E21"/>
  <c r="AC21"/>
  <c r="Y21"/>
  <c r="G4" i="40"/>
  <c r="C4"/>
  <c r="H4"/>
  <c r="F4"/>
  <c r="R4"/>
  <c r="E4"/>
  <c r="D4"/>
  <c r="T4"/>
  <c r="AI4"/>
  <c r="AB4"/>
  <c r="AE4"/>
  <c r="U4"/>
  <c r="AC4"/>
  <c r="AK4"/>
  <c r="AJ4"/>
  <c r="AA4"/>
  <c r="AM4"/>
  <c r="X4"/>
  <c r="Z4"/>
  <c r="AH4"/>
  <c r="AP4"/>
  <c r="AF4"/>
  <c r="Y4"/>
  <c r="AG4"/>
  <c r="AO4"/>
  <c r="S4"/>
  <c r="W4"/>
  <c r="AN4"/>
  <c r="V4"/>
  <c r="AD4"/>
  <c r="AL4"/>
  <c r="AM20" i="22"/>
  <c r="AI20"/>
  <c r="AE20"/>
  <c r="U20"/>
  <c r="G20"/>
  <c r="AB20"/>
  <c r="C20"/>
  <c r="AP20"/>
  <c r="AL20"/>
  <c r="AH20"/>
  <c r="X20"/>
  <c r="T20"/>
  <c r="P20"/>
  <c r="F20"/>
  <c r="AA20"/>
  <c r="AO20"/>
  <c r="AK20"/>
  <c r="AG20"/>
  <c r="W20"/>
  <c r="S20"/>
  <c r="O20"/>
  <c r="E20"/>
  <c r="AD20"/>
  <c r="Z20"/>
  <c r="AN20"/>
  <c r="AJ20"/>
  <c r="AF20"/>
  <c r="V20"/>
  <c r="R20"/>
  <c r="H20"/>
  <c r="D20"/>
  <c r="AC20"/>
  <c r="Y20"/>
  <c r="E3" i="40"/>
  <c r="C3"/>
  <c r="F3"/>
  <c r="R3"/>
  <c r="H3"/>
  <c r="D3"/>
  <c r="G3"/>
  <c r="AG3"/>
  <c r="AC3"/>
  <c r="W3"/>
  <c r="AM3"/>
  <c r="AF3"/>
  <c r="AJ3"/>
  <c r="AH3"/>
  <c r="AE3"/>
  <c r="Y3"/>
  <c r="U3"/>
  <c r="S3"/>
  <c r="AB3"/>
  <c r="AO3"/>
  <c r="Z3"/>
  <c r="AK3"/>
  <c r="V3"/>
  <c r="AA3"/>
  <c r="T3"/>
  <c r="AD3"/>
  <c r="X3"/>
  <c r="AN3"/>
  <c r="AP3"/>
  <c r="AL3"/>
  <c r="AI3"/>
  <c r="AI19" i="22"/>
  <c r="Q19"/>
  <c r="Y19"/>
  <c r="C19"/>
  <c r="AP19"/>
  <c r="AL19"/>
  <c r="AH19"/>
  <c r="X19"/>
  <c r="T19"/>
  <c r="P19"/>
  <c r="F19"/>
  <c r="AB19"/>
  <c r="AM19"/>
  <c r="AE19"/>
  <c r="U19"/>
  <c r="G19"/>
  <c r="AC19"/>
  <c r="AO19"/>
  <c r="AK19"/>
  <c r="AG19"/>
  <c r="W19"/>
  <c r="S19"/>
  <c r="O19"/>
  <c r="E19"/>
  <c r="AA19"/>
  <c r="AM18"/>
  <c r="AE18"/>
  <c r="G18"/>
  <c r="AD18"/>
  <c r="C18"/>
  <c r="AP18"/>
  <c r="AL18"/>
  <c r="AH18"/>
  <c r="X18"/>
  <c r="T18"/>
  <c r="P18"/>
  <c r="F18"/>
  <c r="AC18"/>
  <c r="G2" i="40"/>
  <c r="C2"/>
  <c r="R2"/>
  <c r="F2"/>
  <c r="H2"/>
  <c r="E2"/>
  <c r="D2"/>
  <c r="AI2"/>
  <c r="T2"/>
  <c r="AN2"/>
  <c r="Y2"/>
  <c r="AO2"/>
  <c r="Z2"/>
  <c r="AB2"/>
  <c r="AJ2"/>
  <c r="W2"/>
  <c r="U2"/>
  <c r="AK2"/>
  <c r="V2"/>
  <c r="AL2"/>
  <c r="AE2"/>
  <c r="X2"/>
  <c r="AG2"/>
  <c r="AH2"/>
  <c r="AA2"/>
  <c r="S2"/>
  <c r="AM2"/>
  <c r="AF2"/>
  <c r="AC2"/>
  <c r="AD2"/>
  <c r="AP2"/>
  <c r="U18" i="22"/>
  <c r="Z18"/>
  <c r="AO18"/>
  <c r="AK18"/>
  <c r="AG18"/>
  <c r="W18"/>
  <c r="S18"/>
  <c r="O18"/>
  <c r="E18"/>
  <c r="AB18"/>
  <c r="AI18"/>
  <c r="AN18"/>
  <c r="AJ18"/>
  <c r="AF18"/>
  <c r="V18"/>
  <c r="R18"/>
  <c r="H18"/>
  <c r="D18"/>
  <c r="AA18"/>
  <c r="AM8"/>
  <c r="AE8"/>
  <c r="W8"/>
  <c r="G8"/>
  <c r="AP8"/>
  <c r="AD8"/>
  <c r="V8"/>
  <c r="N8"/>
  <c r="J8"/>
  <c r="AO8"/>
  <c r="AK8"/>
  <c r="AG8"/>
  <c r="AC8"/>
  <c r="Y8"/>
  <c r="U8"/>
  <c r="Q8"/>
  <c r="M8"/>
  <c r="I8"/>
  <c r="C8"/>
  <c r="AI8"/>
  <c r="AA8"/>
  <c r="S8"/>
  <c r="K8"/>
  <c r="AL8"/>
  <c r="AH8"/>
  <c r="Z8"/>
  <c r="K6" i="39"/>
  <c r="G6"/>
  <c r="C6"/>
  <c r="E6"/>
  <c r="L6"/>
  <c r="H6"/>
  <c r="R6"/>
  <c r="N6"/>
  <c r="J6"/>
  <c r="F6"/>
  <c r="M6"/>
  <c r="I6"/>
  <c r="D6"/>
  <c r="T6"/>
  <c r="AH6"/>
  <c r="V6"/>
  <c r="W6"/>
  <c r="AM6"/>
  <c r="AG6"/>
  <c r="X6"/>
  <c r="AL6"/>
  <c r="AE6"/>
  <c r="AO6"/>
  <c r="AN6"/>
  <c r="AI6"/>
  <c r="AB6"/>
  <c r="AP6"/>
  <c r="AD6"/>
  <c r="AA6"/>
  <c r="U6"/>
  <c r="AK6"/>
  <c r="AJ6"/>
  <c r="AF6"/>
  <c r="Y6"/>
  <c r="Z6"/>
  <c r="S6"/>
  <c r="AC6"/>
  <c r="AN8" i="22"/>
  <c r="AJ8"/>
  <c r="AF8"/>
  <c r="AB8"/>
  <c r="X8"/>
  <c r="T8"/>
  <c r="P8"/>
  <c r="L8"/>
  <c r="H8"/>
  <c r="D8"/>
  <c r="AN7"/>
  <c r="AJ7"/>
  <c r="AF7"/>
  <c r="AB7"/>
  <c r="X7"/>
  <c r="T7"/>
  <c r="P7"/>
  <c r="L7"/>
  <c r="H7"/>
  <c r="K5" i="39"/>
  <c r="G5"/>
  <c r="C5"/>
  <c r="D5"/>
  <c r="R5"/>
  <c r="N5"/>
  <c r="J5"/>
  <c r="F5"/>
  <c r="M5"/>
  <c r="I5"/>
  <c r="E5"/>
  <c r="L5"/>
  <c r="H5"/>
  <c r="AF5"/>
  <c r="X5"/>
  <c r="AJ5"/>
  <c r="W5"/>
  <c r="AE5"/>
  <c r="AM5"/>
  <c r="AN5"/>
  <c r="Y5"/>
  <c r="AG5"/>
  <c r="AO5"/>
  <c r="V5"/>
  <c r="Z5"/>
  <c r="T5"/>
  <c r="S5"/>
  <c r="AA5"/>
  <c r="AI5"/>
  <c r="AD5"/>
  <c r="U5"/>
  <c r="AC5"/>
  <c r="AK5"/>
  <c r="AH5"/>
  <c r="AB5"/>
  <c r="AL5"/>
  <c r="AP5"/>
  <c r="AO7" i="22"/>
  <c r="AK7"/>
  <c r="AG7"/>
  <c r="AC7"/>
  <c r="Y7"/>
  <c r="U7"/>
  <c r="M7"/>
  <c r="I7"/>
  <c r="E7"/>
  <c r="C7"/>
  <c r="AM7"/>
  <c r="AI7"/>
  <c r="AE7"/>
  <c r="AA7"/>
  <c r="W7"/>
  <c r="S7"/>
  <c r="K7"/>
  <c r="G7"/>
  <c r="AP7"/>
  <c r="AL7"/>
  <c r="AH7"/>
  <c r="AD7"/>
  <c r="Z7"/>
  <c r="V7"/>
  <c r="R7"/>
  <c r="N7"/>
  <c r="J7"/>
  <c r="F7"/>
  <c r="O6"/>
  <c r="AP6"/>
  <c r="AL6"/>
  <c r="AH6"/>
  <c r="AD6"/>
  <c r="Z6"/>
  <c r="R6"/>
  <c r="N6"/>
  <c r="J6"/>
  <c r="AO6"/>
  <c r="AK6"/>
  <c r="AG6"/>
  <c r="AC6"/>
  <c r="Y6"/>
  <c r="U6"/>
  <c r="Q6"/>
  <c r="M6"/>
  <c r="I6"/>
  <c r="K4" i="39"/>
  <c r="G4"/>
  <c r="C4"/>
  <c r="R4"/>
  <c r="N4"/>
  <c r="J4"/>
  <c r="M4"/>
  <c r="I4"/>
  <c r="E4"/>
  <c r="H4"/>
  <c r="D4"/>
  <c r="F4"/>
  <c r="L4"/>
  <c r="AN4"/>
  <c r="AB4"/>
  <c r="AE4"/>
  <c r="AD4"/>
  <c r="Y4"/>
  <c r="AO4"/>
  <c r="W4"/>
  <c r="AH4"/>
  <c r="T4"/>
  <c r="AI4"/>
  <c r="AC4"/>
  <c r="AP4"/>
  <c r="AJ4"/>
  <c r="AA4"/>
  <c r="AL4"/>
  <c r="AF4"/>
  <c r="U4"/>
  <c r="AK4"/>
  <c r="Z4"/>
  <c r="AM4"/>
  <c r="AG4"/>
  <c r="X4"/>
  <c r="S4"/>
  <c r="V4"/>
  <c r="AN6" i="22"/>
  <c r="AJ6"/>
  <c r="AF6"/>
  <c r="AB6"/>
  <c r="X6"/>
  <c r="T6"/>
  <c r="P6"/>
  <c r="L6"/>
  <c r="H6"/>
  <c r="D6"/>
  <c r="O5"/>
  <c r="AP5"/>
  <c r="AL5"/>
  <c r="AH5"/>
  <c r="AD5"/>
  <c r="Z5"/>
  <c r="V5"/>
  <c r="R5"/>
  <c r="N5"/>
  <c r="J5"/>
  <c r="Q5"/>
  <c r="K3" i="39"/>
  <c r="R3"/>
  <c r="N3"/>
  <c r="J3"/>
  <c r="F3"/>
  <c r="M3"/>
  <c r="I3"/>
  <c r="E3"/>
  <c r="L3"/>
  <c r="H3"/>
  <c r="D3"/>
  <c r="G3"/>
  <c r="C3"/>
  <c r="AN3"/>
  <c r="AL3"/>
  <c r="AP3"/>
  <c r="T3"/>
  <c r="S3"/>
  <c r="W3"/>
  <c r="AA3"/>
  <c r="AE3"/>
  <c r="AI3"/>
  <c r="U3"/>
  <c r="Y3"/>
  <c r="AG3"/>
  <c r="AO3"/>
  <c r="AB3"/>
  <c r="V3"/>
  <c r="Z3"/>
  <c r="X3"/>
  <c r="AJ3"/>
  <c r="AD3"/>
  <c r="AF3"/>
  <c r="AH3"/>
  <c r="AM3"/>
  <c r="AC3"/>
  <c r="AK3"/>
  <c r="AN5" i="22"/>
  <c r="AJ5"/>
  <c r="AF5"/>
  <c r="AB5"/>
  <c r="X5"/>
  <c r="T5"/>
  <c r="P5"/>
  <c r="L5"/>
  <c r="H5"/>
  <c r="D5"/>
  <c r="C4"/>
  <c r="AM4"/>
  <c r="AI4"/>
  <c r="AE4"/>
  <c r="AA4"/>
  <c r="W4"/>
  <c r="S4"/>
  <c r="O4"/>
  <c r="K4"/>
  <c r="G4"/>
  <c r="AP4"/>
  <c r="AL4"/>
  <c r="AH4"/>
  <c r="AD4"/>
  <c r="Z4"/>
  <c r="V4"/>
  <c r="R4"/>
  <c r="N4"/>
  <c r="J4"/>
  <c r="AO4"/>
  <c r="AK4"/>
  <c r="AG4"/>
  <c r="AC4"/>
  <c r="Y4"/>
  <c r="U4"/>
  <c r="Q4"/>
  <c r="M4"/>
  <c r="I4"/>
  <c r="K2" i="39"/>
  <c r="G2"/>
  <c r="C2"/>
  <c r="R2"/>
  <c r="N2"/>
  <c r="J2"/>
  <c r="F2"/>
  <c r="M2"/>
  <c r="I2"/>
  <c r="E2"/>
  <c r="L2"/>
  <c r="H2"/>
  <c r="D2"/>
  <c r="AB2"/>
  <c r="V2"/>
  <c r="AL2"/>
  <c r="AA2"/>
  <c r="U2"/>
  <c r="AK2"/>
  <c r="AJ2"/>
  <c r="Z2"/>
  <c r="AE2"/>
  <c r="X2"/>
  <c r="Y2"/>
  <c r="AP2"/>
  <c r="AD2"/>
  <c r="S2"/>
  <c r="AI2"/>
  <c r="AF2"/>
  <c r="AC2"/>
  <c r="T2"/>
  <c r="AH2"/>
  <c r="W2"/>
  <c r="AM2"/>
  <c r="AN2"/>
  <c r="AO2"/>
  <c r="AG2"/>
  <c r="AN4" i="22"/>
  <c r="AJ4"/>
  <c r="AF4"/>
  <c r="AB4"/>
  <c r="X4"/>
  <c r="T4"/>
  <c r="P4"/>
  <c r="L4"/>
  <c r="H4"/>
  <c r="D4"/>
</calcChain>
</file>

<file path=xl/connections.xml><?xml version="1.0" encoding="utf-8"?>
<connections xmlns="http://schemas.openxmlformats.org/spreadsheetml/2006/main">
  <connection id="1" name="1980solution" type="6" refreshedVersion="4" background="1" saveData="1">
    <textPr prompt="0" codePage="437" sourceFile="C:\Users\inspirion\Documents\GitHub\EMOSA\AlternativeHybrid\RawOut\1980solution.txt" space="1" consecutive="1">
      <textFields count="3">
        <textField/>
        <textField/>
        <textField/>
      </textFields>
    </textPr>
  </connection>
  <connection id="2" name="1980solution1" type="6" refreshedVersion="4" background="1" saveData="1">
    <textPr prompt="0" codePage="437" sourceFile="C:\Users\inspirion\Documents\GitHub\EMOSA\AlternativeContagion\RawOut\1980solution.txt" space="1" consecutive="1">
      <textFields count="3">
        <textField/>
        <textField/>
        <textField/>
      </textFields>
    </textPr>
  </connection>
  <connection id="3" name="1980solution2" type="6" refreshedVersion="4" background="1" saveData="1">
    <textPr prompt="0" codePage="437" sourceFile="C:\Users\inspirion\Documents\GitHub\EMOSA\AlternativeDiffusion\RawOut\1980solution.txt" space="1" consecutive="1">
      <textFields count="3">
        <textField/>
        <textField/>
        <textField/>
      </textFields>
    </textPr>
  </connection>
  <connection id="4" name="1981solution" type="6" refreshedVersion="4" background="1" saveData="1">
    <textPr prompt="0" codePage="437" sourceFile="C:\Users\inspirion\Documents\GitHub\EMOSA\AlternativeHybrid\RawOut\1981solution.txt" space="1" consecutive="1">
      <textFields count="3">
        <textField/>
        <textField/>
        <textField/>
      </textFields>
    </textPr>
  </connection>
  <connection id="5" name="1981solution1" type="6" refreshedVersion="4" background="1" saveData="1">
    <textPr prompt="0" codePage="437" sourceFile="C:\Users\inspirion\Documents\GitHub\EMOSA\AlternativeContagion\RawOut\1981solution.txt" space="1" consecutive="1">
      <textFields count="3">
        <textField/>
        <textField/>
        <textField/>
      </textFields>
    </textPr>
  </connection>
  <connection id="6" name="1981solution2" type="6" refreshedVersion="4" background="1" saveData="1">
    <textPr prompt="0" codePage="437" sourceFile="C:\Users\inspirion\Documents\GitHub\EMOSA\AlternativeDiffusion\RawOut\1981solution.txt" space="1" consecutive="1">
      <textFields count="3">
        <textField/>
        <textField/>
        <textField/>
      </textFields>
    </textPr>
  </connection>
  <connection id="7" name="1982solution" type="6" refreshedVersion="4" background="1" saveData="1">
    <textPr prompt="0" codePage="437" sourceFile="C:\Users\inspirion\Documents\GitHub\EMOSA\AlternativeHybrid\RawOut\1982solution.txt" space="1" consecutive="1">
      <textFields count="3">
        <textField/>
        <textField/>
        <textField/>
      </textFields>
    </textPr>
  </connection>
  <connection id="8" name="1982solution1" type="6" refreshedVersion="4" background="1" saveData="1">
    <textPr prompt="0" codePage="437" sourceFile="C:\Users\inspirion\Documents\GitHub\EMOSA\AlternativeContagion\RawOut\1982solution.txt" space="1" consecutive="1">
      <textFields count="3">
        <textField/>
        <textField/>
        <textField/>
      </textFields>
    </textPr>
  </connection>
  <connection id="9" name="1982solution2" type="6" refreshedVersion="4" background="1" saveData="1">
    <textPr prompt="0" codePage="437" sourceFile="C:\Users\inspirion\Documents\GitHub\EMOSA\AlternativeDiffusion\RawOut\1982solution.txt" space="1" consecutive="1">
      <textFields count="3">
        <textField/>
        <textField/>
        <textField/>
      </textFields>
    </textPr>
  </connection>
  <connection id="10" name="1983solution" type="6" refreshedVersion="4" background="1" saveData="1">
    <textPr prompt="0" codePage="437" sourceFile="C:\Users\inspirion\Documents\GitHub\EMOSA\AlternativeHybrid\RawOut\1983solution.txt" space="1" consecutive="1">
      <textFields count="3">
        <textField/>
        <textField/>
        <textField/>
      </textFields>
    </textPr>
  </connection>
  <connection id="11" name="1983solution1" type="6" refreshedVersion="4" background="1" saveData="1">
    <textPr prompt="0" codePage="437" sourceFile="C:\Users\inspirion\Documents\GitHub\EMOSA\AlternativeContagion\RawOut\1983solution.txt" space="1" consecutive="1">
      <textFields count="3">
        <textField/>
        <textField/>
        <textField/>
      </textFields>
    </textPr>
  </connection>
  <connection id="12" name="1983solution2" type="6" refreshedVersion="4" background="1" saveData="1">
    <textPr prompt="0" codePage="437" sourceFile="C:\Users\inspirion\Documents\GitHub\EMOSA\AlternativeDiffusion\RawOut\1983solution.txt" space="1" consecutive="1">
      <textFields count="3">
        <textField/>
        <textField/>
        <textField/>
      </textFields>
    </textPr>
  </connection>
  <connection id="13" name="1984solution" type="6" refreshedVersion="4" background="1" saveData="1">
    <textPr prompt="0" codePage="437" sourceFile="C:\Users\inspirion\Documents\GitHub\EMOSA\AlternativeHybrid\RawOut\1984solution.txt" space="1" consecutive="1">
      <textFields count="3">
        <textField/>
        <textField/>
        <textField/>
      </textFields>
    </textPr>
  </connection>
  <connection id="14" name="1984solution1" type="6" refreshedVersion="4" background="1" saveData="1">
    <textPr prompt="0" codePage="437" sourceFile="C:\Users\inspirion\Documents\GitHub\EMOSA\AlternativeContagion\RawOut\1984solution.txt" space="1" consecutive="1">
      <textFields count="3">
        <textField/>
        <textField/>
        <textField/>
      </textFields>
    </textPr>
  </connection>
  <connection id="15" name="1984solution2" type="6" refreshedVersion="4" background="1" saveData="1">
    <textPr prompt="0" codePage="437" sourceFile="C:\Users\inspirion\Documents\GitHub\EMOSA\AlternativeDiffusion\RawOut\1984solution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<sst xmlns="http://schemas.openxmlformats.org/spreadsheetml/2006/main" count="1742" uniqueCount="89">
  <si>
    <t>=</t>
  </si>
  <si>
    <t>the</t>
  </si>
  <si>
    <t>Cag</t>
  </si>
  <si>
    <t>for</t>
  </si>
  <si>
    <t>Cia</t>
  </si>
  <si>
    <t>SE</t>
  </si>
  <si>
    <t>Kia</t>
  </si>
  <si>
    <t>Cai</t>
  </si>
  <si>
    <t>Cga</t>
  </si>
  <si>
    <t>Cgi</t>
  </si>
  <si>
    <t>Cig</t>
  </si>
  <si>
    <t>Tag</t>
  </si>
  <si>
    <t>Tai</t>
  </si>
  <si>
    <t>Tga</t>
  </si>
  <si>
    <t>Tgi</t>
  </si>
  <si>
    <t>Tia</t>
  </si>
  <si>
    <t>Tig</t>
  </si>
  <si>
    <t>Hybrid</t>
  </si>
  <si>
    <t>Kag</t>
  </si>
  <si>
    <t>Kai</t>
  </si>
  <si>
    <t>Kga</t>
  </si>
  <si>
    <t>Kgi</t>
  </si>
  <si>
    <t>Kig</t>
  </si>
  <si>
    <t>Diffusion</t>
  </si>
  <si>
    <t>Contagion</t>
  </si>
  <si>
    <t>The order in MatLab vectors</t>
  </si>
  <si>
    <t>Choses model solutions from WInBugs estimation</t>
  </si>
  <si>
    <t>[1]</t>
  </si>
  <si>
    <t>Gauss</t>
  </si>
  <si>
    <t>AlternativeHybrid</t>
  </si>
  <si>
    <t>Mean</t>
  </si>
  <si>
    <t>deviance:</t>
  </si>
  <si>
    <t>penalty</t>
  </si>
  <si>
    <t>Penalized</t>
  </si>
  <si>
    <t>Iterations</t>
  </si>
  <si>
    <t>11001:21000</t>
  </si>
  <si>
    <t>Thinning</t>
  </si>
  <si>
    <t>interval</t>
  </si>
  <si>
    <t>Number</t>
  </si>
  <si>
    <t>of</t>
  </si>
  <si>
    <t>chains</t>
  </si>
  <si>
    <t>Sample</t>
  </si>
  <si>
    <t>size</t>
  </si>
  <si>
    <t>per</t>
  </si>
  <si>
    <t>chain</t>
  </si>
  <si>
    <t>Empirical</t>
  </si>
  <si>
    <t>mean</t>
  </si>
  <si>
    <t>and</t>
  </si>
  <si>
    <t>standard</t>
  </si>
  <si>
    <t>deviation</t>
  </si>
  <si>
    <t>each</t>
  </si>
  <si>
    <t>variable,</t>
  </si>
  <si>
    <t>plus</t>
  </si>
  <si>
    <t>error</t>
  </si>
  <si>
    <t>mean:</t>
  </si>
  <si>
    <t>SD</t>
  </si>
  <si>
    <t>Naive</t>
  </si>
  <si>
    <t>Time-series</t>
  </si>
  <si>
    <t>cag</t>
  </si>
  <si>
    <t>cai</t>
  </si>
  <si>
    <t>cga</t>
  </si>
  <si>
    <t>cgi</t>
  </si>
  <si>
    <t>cia</t>
  </si>
  <si>
    <t>cig</t>
  </si>
  <si>
    <t>sigmaG</t>
  </si>
  <si>
    <t>sigmaI</t>
  </si>
  <si>
    <t>Quantiles</t>
  </si>
  <si>
    <t>variable:</t>
  </si>
  <si>
    <t>Potential</t>
  </si>
  <si>
    <t>scale</t>
  </si>
  <si>
    <t>reduction</t>
  </si>
  <si>
    <t>factors:</t>
  </si>
  <si>
    <t>Point</t>
  </si>
  <si>
    <t>est.</t>
  </si>
  <si>
    <t>Upper</t>
  </si>
  <si>
    <t>C.I.</t>
  </si>
  <si>
    <t>Multivariate</t>
  </si>
  <si>
    <t>psrf</t>
  </si>
  <si>
    <t>md</t>
  </si>
  <si>
    <t>p</t>
  </si>
  <si>
    <t>DIC</t>
  </si>
  <si>
    <t>Dist</t>
  </si>
  <si>
    <t>model</t>
  </si>
  <si>
    <t>iterations</t>
  </si>
  <si>
    <t>cohort</t>
  </si>
  <si>
    <t>PSRF</t>
  </si>
  <si>
    <t>AlternativeContagion</t>
  </si>
  <si>
    <t>AlternativeDiffusion</t>
  </si>
  <si>
    <t>101001:201000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</si>
</sst>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11" fontId="0" fillId="0" borderId="0" xfId="0" applyNumberFormat="1"/>
    <xf numFmtId="10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ining%20the%20new%20WINBUGS%20result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"/>
      <sheetName val="Model solutions"/>
      <sheetName val="C-1980"/>
      <sheetName val="C-1981"/>
      <sheetName val="C-1982"/>
      <sheetName val="C-1983"/>
      <sheetName val="C-1984"/>
      <sheetName val="D-1980"/>
      <sheetName val="D-1981"/>
      <sheetName val="D-1982"/>
      <sheetName val="H-1980"/>
      <sheetName val="H-1981"/>
      <sheetName val="D-1983"/>
      <sheetName val="D-1984"/>
      <sheetName val="H-1982"/>
      <sheetName val="H-1983"/>
      <sheetName val="H-1984"/>
      <sheetName val="H-Graphs"/>
      <sheetName val="D-Graphs"/>
      <sheetName val="C-Graphs"/>
      <sheetName val="Freqs"/>
      <sheetName val="transitions"/>
      <sheetName val="prevelances"/>
      <sheetName val="Sheet3"/>
      <sheetName val="reading in parameter solution"/>
    </sheetNames>
    <sheetDataSet>
      <sheetData sheetId="0"/>
      <sheetData sheetId="1">
        <row r="35">
          <cell r="P35" t="str">
            <v>Diffusion</v>
          </cell>
          <cell r="Q35" t="str">
            <v>Contagion</v>
          </cell>
          <cell r="R35" t="str">
            <v>Hybrid</v>
          </cell>
        </row>
        <row r="36">
          <cell r="C36">
            <v>1980</v>
          </cell>
          <cell r="P36">
            <v>-85.68</v>
          </cell>
          <cell r="Q36">
            <v>-65.73</v>
          </cell>
          <cell r="R36">
            <v>-82.81</v>
          </cell>
        </row>
        <row r="37">
          <cell r="C37">
            <v>1981</v>
          </cell>
          <cell r="P37">
            <v>-86.66</v>
          </cell>
          <cell r="Q37">
            <v>-65.88</v>
          </cell>
          <cell r="R37">
            <v>-85.55</v>
          </cell>
        </row>
        <row r="38">
          <cell r="C38">
            <v>1982</v>
          </cell>
          <cell r="P38">
            <v>-78.680000000000007</v>
          </cell>
          <cell r="Q38">
            <v>-52.65</v>
          </cell>
          <cell r="R38">
            <v>-76.2</v>
          </cell>
        </row>
        <row r="39">
          <cell r="C39">
            <v>1983</v>
          </cell>
          <cell r="P39">
            <v>-89.58</v>
          </cell>
          <cell r="Q39">
            <v>-47.42</v>
          </cell>
          <cell r="R39">
            <v>-87.49</v>
          </cell>
        </row>
        <row r="40">
          <cell r="C40">
            <v>1984</v>
          </cell>
          <cell r="P40">
            <v>-67.81</v>
          </cell>
          <cell r="Q40">
            <v>-42.96</v>
          </cell>
          <cell r="R40">
            <v>-67.87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queryTables/queryTable1.xml><?xml version="1.0" encoding="utf-8"?>
<queryTable xmlns="http://schemas.openxmlformats.org/spreadsheetml/2006/main" name="1980solution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981solution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982solution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983solution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984solution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980solution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981solution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982solution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983solution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984solution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980solution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981solution" connectionId="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982solution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983solution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984solution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AP22"/>
  <sheetViews>
    <sheetView tabSelected="1" zoomScale="85" zoomScaleNormal="85" workbookViewId="0">
      <selection activeCell="B30" sqref="B30"/>
    </sheetView>
  </sheetViews>
  <sheetFormatPr defaultRowHeight="15"/>
  <cols>
    <col min="2" max="2" width="12.28515625" customWidth="1"/>
    <col min="3" max="14" width="9.140625" customWidth="1"/>
  </cols>
  <sheetData>
    <row r="1" spans="2:42">
      <c r="B1" t="s">
        <v>26</v>
      </c>
    </row>
    <row r="2" spans="2:42">
      <c r="C2" t="s">
        <v>25</v>
      </c>
    </row>
    <row r="3" spans="2:42">
      <c r="B3" t="s">
        <v>17</v>
      </c>
      <c r="C3" t="s">
        <v>14</v>
      </c>
      <c r="D3" t="s">
        <v>13</v>
      </c>
      <c r="E3" t="s">
        <v>16</v>
      </c>
      <c r="F3" t="s">
        <v>11</v>
      </c>
      <c r="G3" t="s">
        <v>15</v>
      </c>
      <c r="H3" t="s">
        <v>12</v>
      </c>
      <c r="I3" t="s">
        <v>9</v>
      </c>
      <c r="J3" t="s">
        <v>10</v>
      </c>
      <c r="K3" t="s">
        <v>2</v>
      </c>
      <c r="L3" t="s">
        <v>8</v>
      </c>
      <c r="M3" t="s">
        <v>4</v>
      </c>
      <c r="N3" t="s">
        <v>7</v>
      </c>
      <c r="O3" t="s">
        <v>78</v>
      </c>
      <c r="P3" t="s">
        <v>79</v>
      </c>
      <c r="Q3" t="s">
        <v>80</v>
      </c>
      <c r="R3" t="s">
        <v>85</v>
      </c>
      <c r="S3" t="str">
        <f>CONCATENATE(C3,"_rhat")</f>
        <v>Tgi_rhat</v>
      </c>
      <c r="T3" t="str">
        <f t="shared" ref="T3:AC3" si="0">CONCATENATE(D3,"_rhat")</f>
        <v>Tga_rhat</v>
      </c>
      <c r="U3" t="str">
        <f t="shared" si="0"/>
        <v>Tig_rhat</v>
      </c>
      <c r="V3" t="str">
        <f t="shared" si="0"/>
        <v>Tag_rhat</v>
      </c>
      <c r="W3" t="str">
        <f t="shared" si="0"/>
        <v>Tia_rhat</v>
      </c>
      <c r="X3" t="str">
        <f t="shared" si="0"/>
        <v>Tai_rhat</v>
      </c>
      <c r="Y3" t="str">
        <f t="shared" si="0"/>
        <v>Cgi_rhat</v>
      </c>
      <c r="Z3" t="str">
        <f t="shared" si="0"/>
        <v>Cig_rhat</v>
      </c>
      <c r="AA3" t="str">
        <f t="shared" si="0"/>
        <v>Cag_rhat</v>
      </c>
      <c r="AB3" t="str">
        <f t="shared" si="0"/>
        <v>Cga_rhat</v>
      </c>
      <c r="AC3" t="str">
        <f t="shared" si="0"/>
        <v>Cia_rhat</v>
      </c>
      <c r="AD3" t="str">
        <f>CONCATENATE(N3,"_rhat")</f>
        <v>Cai_rhat</v>
      </c>
      <c r="AE3" t="str">
        <f>CONCATENATE(C3,"_median")</f>
        <v>Tgi_median</v>
      </c>
      <c r="AF3" t="str">
        <f t="shared" ref="AF3:AM3" si="1">CONCATENATE(D3,"_median")</f>
        <v>Tga_median</v>
      </c>
      <c r="AG3" t="str">
        <f t="shared" si="1"/>
        <v>Tig_median</v>
      </c>
      <c r="AH3" t="str">
        <f t="shared" si="1"/>
        <v>Tag_median</v>
      </c>
      <c r="AI3" t="str">
        <f t="shared" si="1"/>
        <v>Tia_median</v>
      </c>
      <c r="AJ3" t="str">
        <f t="shared" si="1"/>
        <v>Tai_median</v>
      </c>
      <c r="AK3" t="str">
        <f t="shared" si="1"/>
        <v>Cgi_median</v>
      </c>
      <c r="AL3" t="str">
        <f t="shared" si="1"/>
        <v>Cig_median</v>
      </c>
      <c r="AM3" t="str">
        <f t="shared" si="1"/>
        <v>Cag_median</v>
      </c>
      <c r="AN3" t="str">
        <f t="shared" ref="AN3" si="2">CONCATENATE(L3,"_median")</f>
        <v>Cga_median</v>
      </c>
      <c r="AO3" t="str">
        <f t="shared" ref="AO3:AP3" si="3">CONCATENATE(M3,"_median")</f>
        <v>Cia_median</v>
      </c>
      <c r="AP3" t="str">
        <f t="shared" si="3"/>
        <v>Cai_median</v>
      </c>
    </row>
    <row r="4" spans="2:42">
      <c r="B4">
        <v>1980</v>
      </c>
      <c r="C4">
        <f>VLOOKUP(C3,H.1980!$K:$L,2,FALSE)</f>
        <v>0.66388999999999998</v>
      </c>
      <c r="D4">
        <f>VLOOKUP(D3,H.1980!$K:$L,2,FALSE)</f>
        <v>0.56916999999999995</v>
      </c>
      <c r="E4">
        <f>VLOOKUP(E3,H.1980!$K:$L,2,FALSE)</f>
        <v>0.42229</v>
      </c>
      <c r="F4">
        <f>VLOOKUP(F3,H.1980!$K:$L,2,FALSE)</f>
        <v>0.45984999999999998</v>
      </c>
      <c r="G4">
        <f>VLOOKUP(G3,H.1980!$K:$L,2,FALSE)</f>
        <v>0.48298000000000002</v>
      </c>
      <c r="H4">
        <f>VLOOKUP(H3,H.1980!$K:$L,2,FALSE)</f>
        <v>0.36069000000000001</v>
      </c>
      <c r="I4">
        <f>VLOOKUP(I3,H.1980!$K:$L,2,FALSE)</f>
        <v>0.28571000000000002</v>
      </c>
      <c r="J4">
        <f>VLOOKUP(J3,H.1980!$K:$L,2,FALSE)</f>
        <v>0.34642000000000001</v>
      </c>
      <c r="K4">
        <f>VLOOKUP(K3,H.1980!$K:$L,2,FALSE)</f>
        <v>0.35883999999999999</v>
      </c>
      <c r="L4">
        <f>VLOOKUP(L3,H.1980!$K:$L,2,FALSE)</f>
        <v>0.32652999999999999</v>
      </c>
      <c r="M4">
        <f>VLOOKUP(M3,H.1980!$K:$L,2,FALSE)</f>
        <v>0.38351000000000002</v>
      </c>
      <c r="N4">
        <f>VLOOKUP(N3,H.1980!$K:$L,2,FALSE)</f>
        <v>0.49445</v>
      </c>
      <c r="O4">
        <f>VLOOKUP(O3,H.1980!$K:$L,2,FALSE)</f>
        <v>-93.18</v>
      </c>
      <c r="P4">
        <f>VLOOKUP(P3,H.1980!$K:$L,2,FALSE)</f>
        <v>10.37</v>
      </c>
      <c r="Q4">
        <f>VLOOKUP(Q3,H.1980!$K:$L,2,FALSE)</f>
        <v>-82.81</v>
      </c>
      <c r="R4">
        <f>VLOOKUP(R3,H.1980!$K:$L,2,FALSE)</f>
        <v>1.01</v>
      </c>
      <c r="S4">
        <f>VLOOKUP(S3,H.1980!$K:$L,2,FALSE)</f>
        <v>1</v>
      </c>
      <c r="T4">
        <f>VLOOKUP(T3,H.1980!$K:$L,2,FALSE)</f>
        <v>1.01</v>
      </c>
      <c r="U4">
        <f>VLOOKUP(U3,H.1980!$K:$L,2,FALSE)</f>
        <v>1.01</v>
      </c>
      <c r="V4">
        <f>VLOOKUP(V3,H.1980!$K:$L,2,FALSE)</f>
        <v>1</v>
      </c>
      <c r="W4">
        <f>VLOOKUP(W3,H.1980!$K:$L,2,FALSE)</f>
        <v>1</v>
      </c>
      <c r="X4">
        <f>VLOOKUP(X3,H.1980!$K:$L,2,FALSE)</f>
        <v>1.01</v>
      </c>
      <c r="Y4">
        <f>VLOOKUP(Y3,H.1980!$K:$L,2,FALSE)</f>
        <v>1</v>
      </c>
      <c r="Z4">
        <f>VLOOKUP(Z3,H.1980!$K:$L,2,FALSE)</f>
        <v>1</v>
      </c>
      <c r="AA4">
        <f>VLOOKUP(AA3,H.1980!$K:$L,2,FALSE)</f>
        <v>1</v>
      </c>
      <c r="AB4">
        <f>VLOOKUP(AB3,H.1980!$K:$L,2,FALSE)</f>
        <v>1</v>
      </c>
      <c r="AC4">
        <f>VLOOKUP(AC3,H.1980!$K:$L,2,FALSE)</f>
        <v>1</v>
      </c>
      <c r="AD4">
        <f>VLOOKUP(AD3,H.1980!$K:$L,2,FALSE)</f>
        <v>1</v>
      </c>
      <c r="AE4">
        <f>VLOOKUP(AE3,H.1980!$K:$L,2,FALSE)</f>
        <v>0.71435000000000004</v>
      </c>
      <c r="AF4">
        <f>VLOOKUP(AF3,H.1980!$K:$L,2,FALSE)</f>
        <v>0.59963999999999995</v>
      </c>
      <c r="AG4">
        <f>VLOOKUP(AG3,H.1980!$K:$L,2,FALSE)</f>
        <v>0.41175</v>
      </c>
      <c r="AH4">
        <f>VLOOKUP(AH3,H.1980!$K:$L,2,FALSE)</f>
        <v>0.43636999999999998</v>
      </c>
      <c r="AI4">
        <f>VLOOKUP(AI3,H.1980!$K:$L,2,FALSE)</f>
        <v>0.46698000000000001</v>
      </c>
      <c r="AJ4">
        <f>VLOOKUP(AJ3,H.1980!$K:$L,2,FALSE)</f>
        <v>0.32485000000000003</v>
      </c>
      <c r="AK4">
        <f>VLOOKUP(AK3,H.1980!$K:$L,2,FALSE)</f>
        <v>0.23721</v>
      </c>
      <c r="AL4">
        <f>VLOOKUP(AL3,H.1980!$K:$L,2,FALSE)</f>
        <v>0.28943000000000002</v>
      </c>
      <c r="AM4">
        <f>VLOOKUP(AM3,H.1980!$K:$L,2,FALSE)</f>
        <v>0.31801000000000001</v>
      </c>
      <c r="AN4">
        <f>VLOOKUP(AN3,H.1980!$K:$L,2,FALSE)</f>
        <v>0.28388000000000002</v>
      </c>
      <c r="AO4">
        <f>VLOOKUP(AO3,H.1980!$K:$L,2,FALSE)</f>
        <v>0.34761999999999998</v>
      </c>
      <c r="AP4">
        <f>VLOOKUP(AP3,H.1980!$K:$L,2,FALSE)</f>
        <v>0.49314999999999998</v>
      </c>
    </row>
    <row r="5" spans="2:42">
      <c r="B5">
        <v>1981</v>
      </c>
      <c r="C5">
        <f>VLOOKUP(C3,H.1981!$K:$L,2,FALSE)</f>
        <v>0.60148000000000001</v>
      </c>
      <c r="D5">
        <f>VLOOKUP(D3,H.1981!$K:$L,2,FALSE)</f>
        <v>0.52925999999999995</v>
      </c>
      <c r="E5">
        <f>VLOOKUP(E3,H.1981!$K:$L,2,FALSE)</f>
        <v>0.46106999999999998</v>
      </c>
      <c r="F5">
        <f>VLOOKUP(F3,H.1981!$K:$L,2,FALSE)</f>
        <v>0.44402999999999998</v>
      </c>
      <c r="G5">
        <f>VLOOKUP(G3,H.1981!$K:$L,2,FALSE)</f>
        <v>0.46586</v>
      </c>
      <c r="H5">
        <f>VLOOKUP(H3,H.1981!$K:$L,2,FALSE)</f>
        <v>0.35770999999999997</v>
      </c>
      <c r="I5">
        <f>VLOOKUP(I3,H.1981!$K:$L,2,FALSE)</f>
        <v>0.31455</v>
      </c>
      <c r="J5">
        <f>VLOOKUP(J3,H.1981!$K:$L,2,FALSE)</f>
        <v>0.36010999999999999</v>
      </c>
      <c r="K5">
        <f>VLOOKUP(K3,H.1981!$K:$L,2,FALSE)</f>
        <v>0.35565999999999998</v>
      </c>
      <c r="L5">
        <f>VLOOKUP(L3,H.1981!$K:$L,2,FALSE)</f>
        <v>0.33130999999999999</v>
      </c>
      <c r="M5">
        <f>VLOOKUP(M3,H.1981!$K:$L,2,FALSE)</f>
        <v>0.37454999999999999</v>
      </c>
      <c r="N5">
        <f>VLOOKUP(N3,H.1981!$K:$L,2,FALSE)</f>
        <v>0.50429999999999997</v>
      </c>
      <c r="O5">
        <f>VLOOKUP(O3,H.1981!$K:$L,2,FALSE)</f>
        <v>-96.63</v>
      </c>
      <c r="P5">
        <f>VLOOKUP(P3,H.1981!$K:$L,2,FALSE)</f>
        <v>11.09</v>
      </c>
      <c r="Q5">
        <f>VLOOKUP(Q3,H.1981!$K:$L,2,FALSE)</f>
        <v>-85.55</v>
      </c>
      <c r="R5">
        <f>VLOOKUP(R3,H.1981!$K:$L,2,FALSE)</f>
        <v>1.02</v>
      </c>
      <c r="S5">
        <f>VLOOKUP(S3,H.1981!$K:$L,2,FALSE)</f>
        <v>1.01</v>
      </c>
      <c r="T5">
        <f>VLOOKUP(T3,H.1981!$K:$L,2,FALSE)</f>
        <v>1.01</v>
      </c>
      <c r="U5">
        <f>VLOOKUP(U3,H.1981!$K:$L,2,FALSE)</f>
        <v>1.01</v>
      </c>
      <c r="V5">
        <f>VLOOKUP(V3,H.1981!$K:$L,2,FALSE)</f>
        <v>1</v>
      </c>
      <c r="W5">
        <f>VLOOKUP(W3,H.1981!$K:$L,2,FALSE)</f>
        <v>1.01</v>
      </c>
      <c r="X5">
        <f>VLOOKUP(X3,H.1981!$K:$L,2,FALSE)</f>
        <v>1</v>
      </c>
      <c r="Y5">
        <f>VLOOKUP(Y3,H.1981!$K:$L,2,FALSE)</f>
        <v>1</v>
      </c>
      <c r="Z5">
        <f>VLOOKUP(Z3,H.1981!$K:$L,2,FALSE)</f>
        <v>1</v>
      </c>
      <c r="AA5">
        <f>VLOOKUP(AA3,H.1981!$K:$L,2,FALSE)</f>
        <v>1</v>
      </c>
      <c r="AB5">
        <f>VLOOKUP(AB3,H.1981!$K:$L,2,FALSE)</f>
        <v>1</v>
      </c>
      <c r="AC5">
        <f>VLOOKUP(AC3,H.1981!$K:$L,2,FALSE)</f>
        <v>1</v>
      </c>
      <c r="AD5">
        <f>VLOOKUP(AD3,H.1981!$K:$L,2,FALSE)</f>
        <v>1</v>
      </c>
      <c r="AE5">
        <f>VLOOKUP(AE3,H.1981!$K:$L,2,FALSE)</f>
        <v>0.63195000000000001</v>
      </c>
      <c r="AF5">
        <f>VLOOKUP(AF3,H.1981!$K:$L,2,FALSE)</f>
        <v>0.54398000000000002</v>
      </c>
      <c r="AG5">
        <f>VLOOKUP(AG3,H.1981!$K:$L,2,FALSE)</f>
        <v>0.45380999999999999</v>
      </c>
      <c r="AH5">
        <f>VLOOKUP(AH3,H.1981!$K:$L,2,FALSE)</f>
        <v>0.41844999999999999</v>
      </c>
      <c r="AI5">
        <f>VLOOKUP(AI3,H.1981!$K:$L,2,FALSE)</f>
        <v>0.44762999999999997</v>
      </c>
      <c r="AJ5">
        <f>VLOOKUP(AJ3,H.1981!$K:$L,2,FALSE)</f>
        <v>0.31723000000000001</v>
      </c>
      <c r="AK5">
        <f>VLOOKUP(AK3,H.1981!$K:$L,2,FALSE)</f>
        <v>0.26773999999999998</v>
      </c>
      <c r="AL5">
        <f>VLOOKUP(AL3,H.1981!$K:$L,2,FALSE)</f>
        <v>0.31714999999999999</v>
      </c>
      <c r="AM5">
        <f>VLOOKUP(AM3,H.1981!$K:$L,2,FALSE)</f>
        <v>0.33592</v>
      </c>
      <c r="AN5">
        <f>VLOOKUP(AN3,H.1981!$K:$L,2,FALSE)</f>
        <v>0.28220000000000001</v>
      </c>
      <c r="AO5">
        <f>VLOOKUP(AO3,H.1981!$K:$L,2,FALSE)</f>
        <v>0.33595000000000003</v>
      </c>
      <c r="AP5">
        <f>VLOOKUP(AP3,H.1981!$K:$L,2,FALSE)</f>
        <v>0.51060000000000005</v>
      </c>
    </row>
    <row r="6" spans="2:42">
      <c r="B6">
        <v>1982</v>
      </c>
      <c r="C6">
        <f>VLOOKUP(C3,H.1982!$K:$L,2,FALSE)</f>
        <v>0.74802999999999997</v>
      </c>
      <c r="D6">
        <f>VLOOKUP(D3,H.1982!$K:$L,2,FALSE)</f>
        <v>0.48655999999999999</v>
      </c>
      <c r="E6">
        <f>VLOOKUP(E3,H.1982!$K:$L,2,FALSE)</f>
        <v>0.54149999999999998</v>
      </c>
      <c r="F6">
        <f>VLOOKUP(F3,H.1982!$K:$L,2,FALSE)</f>
        <v>0.44630999999999998</v>
      </c>
      <c r="G6">
        <f>VLOOKUP(G3,H.1982!$K:$L,2,FALSE)</f>
        <v>0.48396</v>
      </c>
      <c r="H6">
        <f>VLOOKUP(H3,H.1982!$K:$L,2,FALSE)</f>
        <v>0.34516999999999998</v>
      </c>
      <c r="I6">
        <f>VLOOKUP(I3,H.1982!$K:$L,2,FALSE)</f>
        <v>0.20268</v>
      </c>
      <c r="J6">
        <f>VLOOKUP(J3,H.1982!$K:$L,2,FALSE)</f>
        <v>0.25847999999999999</v>
      </c>
      <c r="K6">
        <f>VLOOKUP(K3,H.1982!$K:$L,2,FALSE)</f>
        <v>0.40795999999999999</v>
      </c>
      <c r="L6">
        <f>VLOOKUP(L3,H.1982!$K:$L,2,FALSE)</f>
        <v>0.36053000000000002</v>
      </c>
      <c r="M6">
        <f>VLOOKUP(M3,H.1982!$K:$L,2,FALSE)</f>
        <v>0.35328999999999999</v>
      </c>
      <c r="N6">
        <f>VLOOKUP(N3,H.1982!$K:$L,2,FALSE)</f>
        <v>0.51017000000000001</v>
      </c>
      <c r="O6">
        <f>VLOOKUP(O3,H.1982!$K:$L,2,FALSE)</f>
        <v>-87.74</v>
      </c>
      <c r="P6">
        <f>VLOOKUP(P3,H.1982!$K:$L,2,FALSE)</f>
        <v>11.54</v>
      </c>
      <c r="Q6">
        <f>VLOOKUP(Q3,H.1982!$K:$L,2,FALSE)</f>
        <v>-76.2</v>
      </c>
      <c r="R6">
        <f>VLOOKUP(R3,H.1982!$K:$L,2,FALSE)</f>
        <v>1.01</v>
      </c>
      <c r="S6">
        <f>VLOOKUP(S3,H.1982!$K:$L,2,FALSE)</f>
        <v>1</v>
      </c>
      <c r="T6">
        <f>VLOOKUP(T3,H.1982!$K:$L,2,FALSE)</f>
        <v>1.01</v>
      </c>
      <c r="U6">
        <f>VLOOKUP(U3,H.1982!$K:$L,2,FALSE)</f>
        <v>1</v>
      </c>
      <c r="V6">
        <f>VLOOKUP(V3,H.1982!$K:$L,2,FALSE)</f>
        <v>1.01</v>
      </c>
      <c r="W6">
        <f>VLOOKUP(W3,H.1982!$K:$L,2,FALSE)</f>
        <v>1.01</v>
      </c>
      <c r="X6">
        <f>VLOOKUP(X3,H.1982!$K:$L,2,FALSE)</f>
        <v>1.01</v>
      </c>
      <c r="Y6">
        <f>VLOOKUP(Y3,H.1982!$K:$L,2,FALSE)</f>
        <v>1</v>
      </c>
      <c r="Z6">
        <f>VLOOKUP(Z3,H.1982!$K:$L,2,FALSE)</f>
        <v>1</v>
      </c>
      <c r="AA6">
        <f>VLOOKUP(AA3,H.1982!$K:$L,2,FALSE)</f>
        <v>1</v>
      </c>
      <c r="AB6">
        <f>VLOOKUP(AB3,H.1982!$K:$L,2,FALSE)</f>
        <v>1</v>
      </c>
      <c r="AC6">
        <f>VLOOKUP(AC3,H.1982!$K:$L,2,FALSE)</f>
        <v>1</v>
      </c>
      <c r="AD6">
        <f>VLOOKUP(AD3,H.1982!$K:$L,2,FALSE)</f>
        <v>1</v>
      </c>
      <c r="AE6">
        <f>VLOOKUP(AE3,H.1982!$K:$L,2,FALSE)</f>
        <v>0.78447999999999996</v>
      </c>
      <c r="AF6">
        <f>VLOOKUP(AF3,H.1982!$K:$L,2,FALSE)</f>
        <v>0.48282000000000003</v>
      </c>
      <c r="AG6">
        <f>VLOOKUP(AG3,H.1982!$K:$L,2,FALSE)</f>
        <v>0.55672999999999995</v>
      </c>
      <c r="AH6">
        <f>VLOOKUP(AH3,H.1982!$K:$L,2,FALSE)</f>
        <v>0.42468</v>
      </c>
      <c r="AI6">
        <f>VLOOKUP(AI3,H.1982!$K:$L,2,FALSE)</f>
        <v>0.47865000000000002</v>
      </c>
      <c r="AJ6">
        <f>VLOOKUP(AJ3,H.1982!$K:$L,2,FALSE)</f>
        <v>0.30237999999999998</v>
      </c>
      <c r="AK6">
        <f>VLOOKUP(AK3,H.1982!$K:$L,2,FALSE)</f>
        <v>0.16170999999999999</v>
      </c>
      <c r="AL6">
        <f>VLOOKUP(AL3,H.1982!$K:$L,2,FALSE)</f>
        <v>0.19370999999999999</v>
      </c>
      <c r="AM6">
        <f>VLOOKUP(AM3,H.1982!$K:$L,2,FALSE)</f>
        <v>0.38653999999999999</v>
      </c>
      <c r="AN6">
        <f>VLOOKUP(AN3,H.1982!$K:$L,2,FALSE)</f>
        <v>0.31913000000000002</v>
      </c>
      <c r="AO6">
        <f>VLOOKUP(AO3,H.1982!$K:$L,2,FALSE)</f>
        <v>0.30406</v>
      </c>
      <c r="AP6">
        <f>VLOOKUP(AP3,H.1982!$K:$L,2,FALSE)</f>
        <v>0.51839000000000002</v>
      </c>
    </row>
    <row r="7" spans="2:42">
      <c r="B7">
        <v>1983</v>
      </c>
      <c r="C7">
        <f>VLOOKUP(C3,H.1983!$K:$L,2,FALSE)</f>
        <v>0.637799</v>
      </c>
      <c r="D7">
        <f>VLOOKUP(D3,H.1983!$K:$L,2,FALSE)</f>
        <v>0.419433</v>
      </c>
      <c r="E7">
        <f>VLOOKUP(E3,H.1983!$K:$L,2,FALSE)</f>
        <v>0.405891</v>
      </c>
      <c r="F7">
        <f>VLOOKUP(F3,H.1983!$K:$L,2,FALSE)</f>
        <v>0.43345400000000001</v>
      </c>
      <c r="G7">
        <f>VLOOKUP(G3,H.1983!$K:$L,2,FALSE)</f>
        <v>0.56616599999999995</v>
      </c>
      <c r="H7">
        <f>VLOOKUP(H3,H.1983!$K:$L,2,FALSE)</f>
        <v>0.35747699999999999</v>
      </c>
      <c r="I7">
        <f>VLOOKUP(I3,H.1983!$K:$L,2,FALSE)</f>
        <v>0.29030699999999998</v>
      </c>
      <c r="J7">
        <f>VLOOKUP(J3,H.1983!$K:$L,2,FALSE)</f>
        <v>0.37124299999999999</v>
      </c>
      <c r="K7">
        <f>VLOOKUP(K3,H.1983!$K:$L,2,FALSE)</f>
        <v>0.37654500000000002</v>
      </c>
      <c r="L7">
        <f>VLOOKUP(L3,H.1983!$K:$L,2,FALSE)</f>
        <v>0.39435799999999999</v>
      </c>
      <c r="M7">
        <f>VLOOKUP(M3,H.1983!$K:$L,2,FALSE)</f>
        <v>0.32336100000000001</v>
      </c>
      <c r="N7">
        <f>VLOOKUP(N3,H.1983!$K:$L,2,FALSE)</f>
        <v>0.45502399999999998</v>
      </c>
      <c r="O7">
        <f>VLOOKUP(O3,H.1983!$K:$L,2,FALSE)</f>
        <v>-101.1</v>
      </c>
      <c r="P7">
        <f>VLOOKUP(P3,H.1983!$K:$L,2,FALSE)</f>
        <v>13.63</v>
      </c>
      <c r="Q7">
        <f>VLOOKUP(Q3,H.1983!$K:$L,2,FALSE)</f>
        <v>-87.49</v>
      </c>
      <c r="R7">
        <f>VLOOKUP(R3,H.1983!$K:$L,2,FALSE)</f>
        <v>1.03</v>
      </c>
      <c r="S7">
        <f>VLOOKUP(S3,H.1983!$K:$L,2,FALSE)</f>
        <v>1.01</v>
      </c>
      <c r="T7">
        <f>VLOOKUP(T3,H.1983!$K:$L,2,FALSE)</f>
        <v>1.03</v>
      </c>
      <c r="U7">
        <f>VLOOKUP(U3,H.1983!$K:$L,2,FALSE)</f>
        <v>1.01</v>
      </c>
      <c r="V7">
        <f>VLOOKUP(V3,H.1983!$K:$L,2,FALSE)</f>
        <v>1.03</v>
      </c>
      <c r="W7">
        <f>VLOOKUP(W3,H.1983!$K:$L,2,FALSE)</f>
        <v>1</v>
      </c>
      <c r="X7">
        <f>VLOOKUP(X3,H.1983!$K:$L,2,FALSE)</f>
        <v>1</v>
      </c>
      <c r="Y7">
        <f>VLOOKUP(Y3,H.1983!$K:$L,2,FALSE)</f>
        <v>1</v>
      </c>
      <c r="Z7">
        <f>VLOOKUP(Z3,H.1983!$K:$L,2,FALSE)</f>
        <v>1</v>
      </c>
      <c r="AA7">
        <f>VLOOKUP(AA3,H.1983!$K:$L,2,FALSE)</f>
        <v>1.01</v>
      </c>
      <c r="AB7">
        <f>VLOOKUP(AB3,H.1983!$K:$L,2,FALSE)</f>
        <v>1</v>
      </c>
      <c r="AC7">
        <f>VLOOKUP(AC3,H.1983!$K:$L,2,FALSE)</f>
        <v>1</v>
      </c>
      <c r="AD7">
        <f>VLOOKUP(AD3,H.1983!$K:$L,2,FALSE)</f>
        <v>1</v>
      </c>
      <c r="AE7">
        <f>VLOOKUP(AE3,H.1983!$K:$L,2,FALSE)</f>
        <v>0.64071199999999995</v>
      </c>
      <c r="AF7">
        <f>VLOOKUP(AF3,H.1983!$K:$L,2,FALSE)</f>
        <v>0.38069799999999998</v>
      </c>
      <c r="AG7">
        <f>VLOOKUP(AG3,H.1983!$K:$L,2,FALSE)</f>
        <v>0.392287</v>
      </c>
      <c r="AH7">
        <f>VLOOKUP(AH3,H.1983!$K:$L,2,FALSE)</f>
        <v>0.390295</v>
      </c>
      <c r="AI7">
        <f>VLOOKUP(AI3,H.1983!$K:$L,2,FALSE)</f>
        <v>0.58178200000000002</v>
      </c>
      <c r="AJ7">
        <f>VLOOKUP(AJ3,H.1983!$K:$L,2,FALSE)</f>
        <v>0.33479900000000001</v>
      </c>
      <c r="AK7">
        <f>VLOOKUP(AK3,H.1983!$K:$L,2,FALSE)</f>
        <v>0.265343</v>
      </c>
      <c r="AL7">
        <f>VLOOKUP(AL3,H.1983!$K:$L,2,FALSE)</f>
        <v>0.33121</v>
      </c>
      <c r="AM7">
        <f>VLOOKUP(AM3,H.1983!$K:$L,2,FALSE)</f>
        <v>0.36874000000000001</v>
      </c>
      <c r="AN7">
        <f>VLOOKUP(AN3,H.1983!$K:$L,2,FALSE)</f>
        <v>0.36962099999999998</v>
      </c>
      <c r="AO7">
        <f>VLOOKUP(AO3,H.1983!$K:$L,2,FALSE)</f>
        <v>0.27382200000000001</v>
      </c>
      <c r="AP7">
        <f>VLOOKUP(AP3,H.1983!$K:$L,2,FALSE)</f>
        <v>0.43940299999999999</v>
      </c>
    </row>
    <row r="8" spans="2:42">
      <c r="B8">
        <v>1984</v>
      </c>
      <c r="C8">
        <f>VLOOKUP(C3,H.1984!$K:$L,2,FALSE)</f>
        <v>0.56537999999999999</v>
      </c>
      <c r="D8">
        <f>VLOOKUP(D3,H.1984!$K:$L,2,FALSE)</f>
        <v>0.42968000000000001</v>
      </c>
      <c r="E8">
        <f>VLOOKUP(E3,H.1984!$K:$L,2,FALSE)</f>
        <v>0.34371000000000002</v>
      </c>
      <c r="F8">
        <f>VLOOKUP(F3,H.1984!$K:$L,2,FALSE)</f>
        <v>0.43495</v>
      </c>
      <c r="G8">
        <f>VLOOKUP(G3,H.1984!$K:$L,2,FALSE)</f>
        <v>0.55230999999999997</v>
      </c>
      <c r="H8">
        <f>VLOOKUP(H3,H.1984!$K:$L,2,FALSE)</f>
        <v>0.35189999999999999</v>
      </c>
      <c r="I8">
        <f>VLOOKUP(I3,H.1984!$K:$L,2,FALSE)</f>
        <v>0.43224000000000001</v>
      </c>
      <c r="J8">
        <f>VLOOKUP(J3,H.1984!$K:$L,2,FALSE)</f>
        <v>0.43726999999999999</v>
      </c>
      <c r="K8">
        <f>VLOOKUP(K3,H.1984!$K:$L,2,FALSE)</f>
        <v>0.38235000000000002</v>
      </c>
      <c r="L8">
        <f>VLOOKUP(L3,H.1984!$K:$L,2,FALSE)</f>
        <v>0.40122999999999998</v>
      </c>
      <c r="M8">
        <f>VLOOKUP(M3,H.1984!$K:$L,2,FALSE)</f>
        <v>0.35048000000000001</v>
      </c>
      <c r="N8">
        <f>VLOOKUP(N3,H.1984!$K:$L,2,FALSE)</f>
        <v>0.47458</v>
      </c>
      <c r="O8">
        <f>VLOOKUP(O3,H.1984!$K:$L,2,FALSE)</f>
        <v>-79.89</v>
      </c>
      <c r="P8">
        <f>VLOOKUP(P3,H.1984!$K:$L,2,FALSE)</f>
        <v>12.02</v>
      </c>
      <c r="Q8">
        <f>VLOOKUP(Q3,H.1984!$K:$L,2,FALSE)</f>
        <v>-67.87</v>
      </c>
      <c r="R8">
        <f>VLOOKUP(R3,H.1984!$K:$L,2,FALSE)</f>
        <v>1</v>
      </c>
      <c r="S8">
        <f>VLOOKUP(S3,H.1984!$K:$L,2,FALSE)</f>
        <v>1</v>
      </c>
      <c r="T8">
        <f>VLOOKUP(T3,H.1984!$K:$L,2,FALSE)</f>
        <v>1.01</v>
      </c>
      <c r="U8">
        <f>VLOOKUP(U3,H.1984!$K:$L,2,FALSE)</f>
        <v>1</v>
      </c>
      <c r="V8">
        <f>VLOOKUP(V3,H.1984!$K:$L,2,FALSE)</f>
        <v>1</v>
      </c>
      <c r="W8">
        <f>VLOOKUP(W3,H.1984!$K:$L,2,FALSE)</f>
        <v>1</v>
      </c>
      <c r="X8">
        <f>VLOOKUP(X3,H.1984!$K:$L,2,FALSE)</f>
        <v>1</v>
      </c>
      <c r="Y8">
        <f>VLOOKUP(Y3,H.1984!$K:$L,2,FALSE)</f>
        <v>1</v>
      </c>
      <c r="Z8">
        <f>VLOOKUP(Z3,H.1984!$K:$L,2,FALSE)</f>
        <v>1</v>
      </c>
      <c r="AA8">
        <f>VLOOKUP(AA3,H.1984!$K:$L,2,FALSE)</f>
        <v>1</v>
      </c>
      <c r="AB8">
        <f>VLOOKUP(AB3,H.1984!$K:$L,2,FALSE)</f>
        <v>1</v>
      </c>
      <c r="AC8">
        <f>VLOOKUP(AC3,H.1984!$K:$L,2,FALSE)</f>
        <v>1</v>
      </c>
      <c r="AD8">
        <f>VLOOKUP(AD3,H.1984!$K:$L,2,FALSE)</f>
        <v>1</v>
      </c>
      <c r="AE8">
        <f>VLOOKUP(AE3,H.1984!$K:$L,2,FALSE)</f>
        <v>0.56215000000000004</v>
      </c>
      <c r="AF8">
        <f>VLOOKUP(AF3,H.1984!$K:$L,2,FALSE)</f>
        <v>0.40067000000000003</v>
      </c>
      <c r="AG8">
        <f>VLOOKUP(AG3,H.1984!$K:$L,2,FALSE)</f>
        <v>0.30953000000000003</v>
      </c>
      <c r="AH8">
        <f>VLOOKUP(AH3,H.1984!$K:$L,2,FALSE)</f>
        <v>0.40096999999999999</v>
      </c>
      <c r="AI8">
        <f>VLOOKUP(AI3,H.1984!$K:$L,2,FALSE)</f>
        <v>0.55861000000000005</v>
      </c>
      <c r="AJ8">
        <f>VLOOKUP(AJ3,H.1984!$K:$L,2,FALSE)</f>
        <v>0.31833</v>
      </c>
      <c r="AK8">
        <f>VLOOKUP(AK3,H.1984!$K:$L,2,FALSE)</f>
        <v>0.43425000000000002</v>
      </c>
      <c r="AL8">
        <f>VLOOKUP(AL3,H.1984!$K:$L,2,FALSE)</f>
        <v>0.40587000000000001</v>
      </c>
      <c r="AM8">
        <f>VLOOKUP(AM3,H.1984!$K:$L,2,FALSE)</f>
        <v>0.35848999999999998</v>
      </c>
      <c r="AN8">
        <f>VLOOKUP(AN3,H.1984!$K:$L,2,FALSE)</f>
        <v>0.37631999999999999</v>
      </c>
      <c r="AO8">
        <f>VLOOKUP(AO3,H.1984!$K:$L,2,FALSE)</f>
        <v>0.30861</v>
      </c>
      <c r="AP8">
        <f>VLOOKUP(AP3,H.1984!$K:$L,2,FALSE)</f>
        <v>0.46392</v>
      </c>
    </row>
    <row r="10" spans="2:42">
      <c r="B10" t="s">
        <v>23</v>
      </c>
      <c r="C10" t="s">
        <v>21</v>
      </c>
      <c r="D10" t="s">
        <v>20</v>
      </c>
      <c r="E10" t="s">
        <v>22</v>
      </c>
      <c r="F10" t="s">
        <v>18</v>
      </c>
      <c r="G10" t="s">
        <v>6</v>
      </c>
      <c r="H10" t="s">
        <v>19</v>
      </c>
      <c r="I10" t="s">
        <v>9</v>
      </c>
      <c r="J10" t="s">
        <v>10</v>
      </c>
      <c r="K10" t="s">
        <v>2</v>
      </c>
      <c r="L10" t="s">
        <v>8</v>
      </c>
      <c r="M10" t="s">
        <v>4</v>
      </c>
      <c r="N10" t="s">
        <v>7</v>
      </c>
      <c r="O10" t="s">
        <v>78</v>
      </c>
      <c r="P10" t="s">
        <v>79</v>
      </c>
      <c r="Q10" t="s">
        <v>80</v>
      </c>
      <c r="R10" t="s">
        <v>85</v>
      </c>
      <c r="S10" t="str">
        <f>CONCATENATE(C10,"_rhat")</f>
        <v>Kgi_rhat</v>
      </c>
      <c r="T10" t="str">
        <f t="shared" ref="T10" si="4">CONCATENATE(D10,"_rhat")</f>
        <v>Kga_rhat</v>
      </c>
      <c r="U10" t="str">
        <f t="shared" ref="U10" si="5">CONCATENATE(E10,"_rhat")</f>
        <v>Kig_rhat</v>
      </c>
      <c r="V10" t="str">
        <f t="shared" ref="V10" si="6">CONCATENATE(F10,"_rhat")</f>
        <v>Kag_rhat</v>
      </c>
      <c r="W10" t="str">
        <f t="shared" ref="W10" si="7">CONCATENATE(G10,"_rhat")</f>
        <v>Kia_rhat</v>
      </c>
      <c r="X10" t="str">
        <f t="shared" ref="X10" si="8">CONCATENATE(H10,"_rhat")</f>
        <v>Kai_rhat</v>
      </c>
      <c r="Y10" t="str">
        <f t="shared" ref="Y10" si="9">CONCATENATE(I10,"_rhat")</f>
        <v>Cgi_rhat</v>
      </c>
      <c r="Z10" t="str">
        <f t="shared" ref="Z10" si="10">CONCATENATE(J10,"_rhat")</f>
        <v>Cig_rhat</v>
      </c>
      <c r="AA10" t="str">
        <f t="shared" ref="AA10" si="11">CONCATENATE(K10,"_rhat")</f>
        <v>Cag_rhat</v>
      </c>
      <c r="AB10" t="str">
        <f t="shared" ref="AB10" si="12">CONCATENATE(L10,"_rhat")</f>
        <v>Cga_rhat</v>
      </c>
      <c r="AC10" t="str">
        <f t="shared" ref="AC10" si="13">CONCATENATE(M10,"_rhat")</f>
        <v>Cia_rhat</v>
      </c>
      <c r="AD10" t="str">
        <f>CONCATENATE(N10,"_rhat")</f>
        <v>Cai_rhat</v>
      </c>
      <c r="AE10" t="str">
        <f>CONCATENATE(C10,"_median")</f>
        <v>Kgi_median</v>
      </c>
      <c r="AF10" t="str">
        <f t="shared" ref="AF10" si="14">CONCATENATE(D10,"_median")</f>
        <v>Kga_median</v>
      </c>
      <c r="AG10" t="str">
        <f t="shared" ref="AG10" si="15">CONCATENATE(E10,"_median")</f>
        <v>Kig_median</v>
      </c>
      <c r="AH10" t="str">
        <f t="shared" ref="AH10" si="16">CONCATENATE(F10,"_median")</f>
        <v>Kag_median</v>
      </c>
      <c r="AI10" t="str">
        <f t="shared" ref="AI10" si="17">CONCATENATE(G10,"_median")</f>
        <v>Kia_median</v>
      </c>
      <c r="AJ10" t="str">
        <f t="shared" ref="AJ10" si="18">CONCATENATE(H10,"_median")</f>
        <v>Kai_median</v>
      </c>
      <c r="AK10" t="str">
        <f t="shared" ref="AK10" si="19">CONCATENATE(I10,"_median")</f>
        <v>Cgi_median</v>
      </c>
      <c r="AL10" t="str">
        <f t="shared" ref="AL10" si="20">CONCATENATE(J10,"_median")</f>
        <v>Cig_median</v>
      </c>
      <c r="AM10" t="str">
        <f t="shared" ref="AM10" si="21">CONCATENATE(K10,"_median")</f>
        <v>Cag_median</v>
      </c>
      <c r="AN10" t="str">
        <f t="shared" ref="AN10" si="22">CONCATENATE(L10,"_median")</f>
        <v>Cga_median</v>
      </c>
      <c r="AO10" t="str">
        <f t="shared" ref="AO10" si="23">CONCATENATE(M10,"_median")</f>
        <v>Cia_median</v>
      </c>
      <c r="AP10" t="str">
        <f t="shared" ref="AP10" si="24">CONCATENATE(N10,"_median")</f>
        <v>Cai_median</v>
      </c>
    </row>
    <row r="11" spans="2:42">
      <c r="B11">
        <v>1980</v>
      </c>
      <c r="C11">
        <f>VLOOKUP(C10,D.1980!$K:$L,2,FALSE)</f>
        <v>0.5262</v>
      </c>
      <c r="D11">
        <f>VLOOKUP(D10,D.1980!$K:$L,2,FALSE)</f>
        <v>0.45567999999999997</v>
      </c>
      <c r="E11">
        <f>VLOOKUP(E10,D.1980!$K:$L,2,FALSE)</f>
        <v>0.22722999999999999</v>
      </c>
      <c r="F11">
        <f>VLOOKUP(F10,D.1980!$K:$L,2,FALSE)</f>
        <v>0.17909</v>
      </c>
      <c r="G11">
        <f>VLOOKUP(G10,D.1980!$K:$L,2,FALSE)</f>
        <v>0.34426000000000001</v>
      </c>
      <c r="H11">
        <f>VLOOKUP(H10,D.1980!$K:$L,2,FALSE)</f>
        <v>0.11676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>
        <f>VLOOKUP(O10,D.1980!$K:$L,2,FALSE)</f>
        <v>-95.17</v>
      </c>
      <c r="P11">
        <f>VLOOKUP(P10,D.1980!$K:$L,2,FALSE)</f>
        <v>9.4979999999999993</v>
      </c>
      <c r="Q11">
        <f>VLOOKUP(Q10,D.1980!$K:$L,2,FALSE)</f>
        <v>-85.68</v>
      </c>
      <c r="R11">
        <f>VLOOKUP(R10,D.1980!$K:$L,2,FALSE)</f>
        <v>1</v>
      </c>
      <c r="S11">
        <f>VLOOKUP(S10,D.1980!$K:$L,2,FALSE)</f>
        <v>1</v>
      </c>
      <c r="T11">
        <f>VLOOKUP(T10,D.1980!$K:$L,2,FALSE)</f>
        <v>1</v>
      </c>
      <c r="U11">
        <f>VLOOKUP(U10,D.1980!$K:$L,2,FALSE)</f>
        <v>1</v>
      </c>
      <c r="V11">
        <f>VLOOKUP(V10,D.1980!$K:$L,2,FALSE)</f>
        <v>1</v>
      </c>
      <c r="W11">
        <f>VLOOKUP(W10,D.1980!$K:$L,2,FALSE)</f>
        <v>1</v>
      </c>
      <c r="X11">
        <f>VLOOKUP(X10,D.1980!$K:$L,2,FALSE)</f>
        <v>1</v>
      </c>
      <c r="Y11" t="e">
        <f>VLOOKUP(Y10,D.1980!$K:$L,2,FALSE)</f>
        <v>#N/A</v>
      </c>
      <c r="Z11" t="e">
        <f>VLOOKUP(Z10,D.1980!$K:$L,2,FALSE)</f>
        <v>#N/A</v>
      </c>
      <c r="AA11" t="e">
        <f>VLOOKUP(AA10,D.1980!$K:$L,2,FALSE)</f>
        <v>#N/A</v>
      </c>
      <c r="AB11" t="e">
        <f>VLOOKUP(AB10,D.1980!$K:$L,2,FALSE)</f>
        <v>#N/A</v>
      </c>
      <c r="AC11" t="e">
        <f>VLOOKUP(AC10,D.1980!$K:$L,2,FALSE)</f>
        <v>#N/A</v>
      </c>
      <c r="AD11" t="e">
        <f>VLOOKUP(AD10,D.1980!$K:$L,2,FALSE)</f>
        <v>#N/A</v>
      </c>
      <c r="AE11">
        <f>VLOOKUP(AE10,D.1980!$K:$L,2,FALSE)</f>
        <v>0.53254000000000001</v>
      </c>
      <c r="AF11">
        <f>VLOOKUP(AF10,D.1980!$K:$L,2,FALSE)</f>
        <v>0.44257000000000002</v>
      </c>
      <c r="AG11">
        <f>VLOOKUP(AG10,D.1980!$K:$L,2,FALSE)</f>
        <v>0.21102000000000001</v>
      </c>
      <c r="AH11">
        <f>VLOOKUP(AH10,D.1980!$K:$L,2,FALSE)</f>
        <v>0.17743999999999999</v>
      </c>
      <c r="AI11">
        <f>VLOOKUP(AI10,D.1980!$K:$L,2,FALSE)</f>
        <v>0.32338</v>
      </c>
      <c r="AJ11">
        <f>VLOOKUP(AJ10,D.1980!$K:$L,2,FALSE)</f>
        <v>9.9150000000000002E-2</v>
      </c>
      <c r="AK11" t="e">
        <f>VLOOKUP(AK10,D.1980!$K:$L,2,FALSE)</f>
        <v>#N/A</v>
      </c>
      <c r="AL11" t="e">
        <f>VLOOKUP(AL10,D.1980!$K:$L,2,FALSE)</f>
        <v>#N/A</v>
      </c>
      <c r="AM11" t="e">
        <f>VLOOKUP(AM10,D.1980!$K:$L,2,FALSE)</f>
        <v>#N/A</v>
      </c>
      <c r="AN11" t="e">
        <f>VLOOKUP(AN10,D.1980!$K:$L,2,FALSE)</f>
        <v>#N/A</v>
      </c>
      <c r="AO11" t="e">
        <f>VLOOKUP(AO10,D.1980!$K:$L,2,FALSE)</f>
        <v>#N/A</v>
      </c>
      <c r="AP11" t="e">
        <f>VLOOKUP(AP10,D.1980!$K:$L,2,FALSE)</f>
        <v>#N/A</v>
      </c>
    </row>
    <row r="12" spans="2:42">
      <c r="B12">
        <v>1981</v>
      </c>
      <c r="C12">
        <f>VLOOKUP(C10,D.1981!$K:$L,2,FALSE)</f>
        <v>0.41549999999999998</v>
      </c>
      <c r="D12">
        <f>VLOOKUP(D10,D.1981!$K:$L,2,FALSE)</f>
        <v>0.29137999999999997</v>
      </c>
      <c r="E12">
        <f>VLOOKUP(E10,D.1981!$K:$L,2,FALSE)</f>
        <v>0.25802000000000003</v>
      </c>
      <c r="F12">
        <f>VLOOKUP(F10,D.1981!$K:$L,2,FALSE)</f>
        <v>0.13485</v>
      </c>
      <c r="G12">
        <f>VLOOKUP(G10,D.1981!$K:$L,2,FALSE)</f>
        <v>0.21798999999999999</v>
      </c>
      <c r="H12">
        <f>VLOOKUP(H10,D.1981!$K:$L,2,FALSE)</f>
        <v>7.4200000000000002E-2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>
        <f>VLOOKUP(O10,D.1981!$K:$L,2,FALSE)</f>
        <v>-97.56</v>
      </c>
      <c r="P12">
        <f>VLOOKUP(P10,D.1981!$K:$L,2,FALSE)</f>
        <v>10.9</v>
      </c>
      <c r="Q12">
        <f>VLOOKUP(Q10,D.1981!$K:$L,2,FALSE)</f>
        <v>-86.66</v>
      </c>
      <c r="R12">
        <f>VLOOKUP(R10,D.1981!$K:$L,2,FALSE)</f>
        <v>1</v>
      </c>
      <c r="S12">
        <f>VLOOKUP(S10,D.1981!$K:$L,2,FALSE)</f>
        <v>1</v>
      </c>
      <c r="T12">
        <f>VLOOKUP(T10,D.1981!$K:$L,2,FALSE)</f>
        <v>1</v>
      </c>
      <c r="U12">
        <f>VLOOKUP(U10,D.1981!$K:$L,2,FALSE)</f>
        <v>1</v>
      </c>
      <c r="V12">
        <f>VLOOKUP(V10,D.1981!$K:$L,2,FALSE)</f>
        <v>1</v>
      </c>
      <c r="W12">
        <f>VLOOKUP(W10,D.1981!$K:$L,2,FALSE)</f>
        <v>1</v>
      </c>
      <c r="X12">
        <f>VLOOKUP(X10,D.1981!$K:$L,2,FALSE)</f>
        <v>1</v>
      </c>
      <c r="Y12" t="e">
        <f>VLOOKUP(Y10,D.1981!$K:$L,2,FALSE)</f>
        <v>#N/A</v>
      </c>
      <c r="Z12" t="e">
        <f>VLOOKUP(Z10,D.1981!$K:$L,2,FALSE)</f>
        <v>#N/A</v>
      </c>
      <c r="AA12" t="e">
        <f>VLOOKUP(AA10,D.1981!$K:$L,2,FALSE)</f>
        <v>#N/A</v>
      </c>
      <c r="AB12" t="e">
        <f>VLOOKUP(AB10,D.1981!$K:$L,2,FALSE)</f>
        <v>#N/A</v>
      </c>
      <c r="AC12" t="e">
        <f>VLOOKUP(AC10,D.1981!$K:$L,2,FALSE)</f>
        <v>#N/A</v>
      </c>
      <c r="AD12" t="e">
        <f>VLOOKUP(AD10,D.1981!$K:$L,2,FALSE)</f>
        <v>#N/A</v>
      </c>
      <c r="AE12">
        <f>VLOOKUP(AE10,D.1981!$K:$L,2,FALSE)</f>
        <v>0.40947499999999998</v>
      </c>
      <c r="AF12">
        <f>VLOOKUP(AF10,D.1981!$K:$L,2,FALSE)</f>
        <v>0.27176099999999997</v>
      </c>
      <c r="AG12">
        <f>VLOOKUP(AG10,D.1981!$K:$L,2,FALSE)</f>
        <v>0.248472</v>
      </c>
      <c r="AH12">
        <f>VLOOKUP(AH10,D.1981!$K:$L,2,FALSE)</f>
        <v>0.13179099999999999</v>
      </c>
      <c r="AI12">
        <f>VLOOKUP(AI10,D.1981!$K:$L,2,FALSE)</f>
        <v>0.19945099999999999</v>
      </c>
      <c r="AJ12">
        <f>VLOOKUP(AJ10,D.1981!$K:$L,2,FALSE)</f>
        <v>6.2023000000000002E-2</v>
      </c>
      <c r="AK12" t="e">
        <f>VLOOKUP(AK10,D.1981!$K:$L,2,FALSE)</f>
        <v>#N/A</v>
      </c>
      <c r="AL12" t="e">
        <f>VLOOKUP(AL10,D.1981!$K:$L,2,FALSE)</f>
        <v>#N/A</v>
      </c>
      <c r="AM12" t="e">
        <f>VLOOKUP(AM10,D.1981!$K:$L,2,FALSE)</f>
        <v>#N/A</v>
      </c>
      <c r="AN12" t="e">
        <f>VLOOKUP(AN10,D.1981!$K:$L,2,FALSE)</f>
        <v>#N/A</v>
      </c>
      <c r="AO12" t="e">
        <f>VLOOKUP(AO10,D.1981!$K:$L,2,FALSE)</f>
        <v>#N/A</v>
      </c>
      <c r="AP12" t="e">
        <f>VLOOKUP(AP10,D.1981!$K:$L,2,FALSE)</f>
        <v>#N/A</v>
      </c>
    </row>
    <row r="13" spans="2:42">
      <c r="B13">
        <v>1982</v>
      </c>
      <c r="C13">
        <f>VLOOKUP(C10,D.1982!$K:$L,2,FALSE)</f>
        <v>0.65910999999999997</v>
      </c>
      <c r="D13">
        <f>VLOOKUP(D10,D.1982!$K:$L,2,FALSE)</f>
        <v>0.23635999999999999</v>
      </c>
      <c r="E13">
        <f>VLOOKUP(E10,D.1982!$K:$L,2,FALSE)</f>
        <v>0.42503999999999997</v>
      </c>
      <c r="F13">
        <f>VLOOKUP(F10,D.1982!$K:$L,2,FALSE)</f>
        <v>0.12255000000000001</v>
      </c>
      <c r="G13">
        <f>VLOOKUP(G10,D.1982!$K:$L,2,FALSE)</f>
        <v>0.25402000000000002</v>
      </c>
      <c r="H13">
        <f>VLOOKUP(H10,D.1982!$K:$L,2,FALSE)</f>
        <v>6.633E-2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>
        <f>VLOOKUP(O10,D.1982!$K:$L,2,FALSE)</f>
        <v>-89.63</v>
      </c>
      <c r="P13">
        <f>VLOOKUP(P10,D.1982!$K:$L,2,FALSE)</f>
        <v>10.96</v>
      </c>
      <c r="Q13">
        <f>VLOOKUP(Q10,D.1982!$K:$L,2,FALSE)</f>
        <v>-78.680000000000007</v>
      </c>
      <c r="R13">
        <f>VLOOKUP(R10,D.1982!$K:$L,2,FALSE)</f>
        <v>1.01</v>
      </c>
      <c r="S13">
        <f>VLOOKUP(S10,D.1982!$K:$L,2,FALSE)</f>
        <v>1</v>
      </c>
      <c r="T13">
        <f>VLOOKUP(T10,D.1982!$K:$L,2,FALSE)</f>
        <v>1</v>
      </c>
      <c r="U13">
        <f>VLOOKUP(U10,D.1982!$K:$L,2,FALSE)</f>
        <v>1.01</v>
      </c>
      <c r="V13">
        <f>VLOOKUP(V10,D.1982!$K:$L,2,FALSE)</f>
        <v>1</v>
      </c>
      <c r="W13">
        <f>VLOOKUP(W10,D.1982!$K:$L,2,FALSE)</f>
        <v>1.01</v>
      </c>
      <c r="X13">
        <f>VLOOKUP(X10,D.1982!$K:$L,2,FALSE)</f>
        <v>1</v>
      </c>
      <c r="Y13" t="e">
        <f>VLOOKUP(Y10,D.1982!$K:$L,2,FALSE)</f>
        <v>#N/A</v>
      </c>
      <c r="Z13" t="e">
        <f>VLOOKUP(Z10,D.1982!$K:$L,2,FALSE)</f>
        <v>#N/A</v>
      </c>
      <c r="AA13" t="e">
        <f>VLOOKUP(AA10,D.1982!$K:$L,2,FALSE)</f>
        <v>#N/A</v>
      </c>
      <c r="AB13" t="e">
        <f>VLOOKUP(AB10,D.1982!$K:$L,2,FALSE)</f>
        <v>#N/A</v>
      </c>
      <c r="AC13" t="e">
        <f>VLOOKUP(AC10,D.1982!$K:$L,2,FALSE)</f>
        <v>#N/A</v>
      </c>
      <c r="AD13" t="e">
        <f>VLOOKUP(AD10,D.1982!$K:$L,2,FALSE)</f>
        <v>#N/A</v>
      </c>
      <c r="AE13">
        <f>VLOOKUP(AE10,D.1982!$K:$L,2,FALSE)</f>
        <v>0.66713999999999996</v>
      </c>
      <c r="AF13">
        <f>VLOOKUP(AF10,D.1982!$K:$L,2,FALSE)</f>
        <v>0.20784</v>
      </c>
      <c r="AG13">
        <f>VLOOKUP(AG10,D.1982!$K:$L,2,FALSE)</f>
        <v>0.43248999999999999</v>
      </c>
      <c r="AH13">
        <f>VLOOKUP(AH10,D.1982!$K:$L,2,FALSE)</f>
        <v>0.11441999999999999</v>
      </c>
      <c r="AI13">
        <f>VLOOKUP(AI10,D.1982!$K:$L,2,FALSE)</f>
        <v>0.23238</v>
      </c>
      <c r="AJ13">
        <f>VLOOKUP(AJ10,D.1982!$K:$L,2,FALSE)</f>
        <v>5.8439999999999999E-2</v>
      </c>
      <c r="AK13" t="e">
        <f>VLOOKUP(AK10,D.1982!$K:$L,2,FALSE)</f>
        <v>#N/A</v>
      </c>
      <c r="AL13" t="e">
        <f>VLOOKUP(AL10,D.1982!$K:$L,2,FALSE)</f>
        <v>#N/A</v>
      </c>
      <c r="AM13" t="e">
        <f>VLOOKUP(AM10,D.1982!$K:$L,2,FALSE)</f>
        <v>#N/A</v>
      </c>
      <c r="AN13" t="e">
        <f>VLOOKUP(AN10,D.1982!$K:$L,2,FALSE)</f>
        <v>#N/A</v>
      </c>
      <c r="AO13" t="e">
        <f>VLOOKUP(AO10,D.1982!$K:$L,2,FALSE)</f>
        <v>#N/A</v>
      </c>
      <c r="AP13" t="e">
        <f>VLOOKUP(AP10,D.1982!$K:$L,2,FALSE)</f>
        <v>#N/A</v>
      </c>
    </row>
    <row r="14" spans="2:42">
      <c r="B14">
        <v>1983</v>
      </c>
      <c r="C14">
        <f>VLOOKUP(C10,D.1983!$K:$L,2,FALSE)</f>
        <v>0.28876000000000002</v>
      </c>
      <c r="D14">
        <f>VLOOKUP(D10,D.1983!$K:$L,2,FALSE)</f>
        <v>9.0357999999999994E-2</v>
      </c>
      <c r="E14">
        <f>VLOOKUP(E10,D.1983!$K:$L,2,FALSE)</f>
        <v>9.6392000000000005E-2</v>
      </c>
      <c r="F14">
        <f>VLOOKUP(F10,D.1983!$K:$L,2,FALSE)</f>
        <v>7.0599999999999996E-2</v>
      </c>
      <c r="G14">
        <f>VLOOKUP(G10,D.1983!$K:$L,2,FALSE)</f>
        <v>0.36199799999999999</v>
      </c>
      <c r="H14">
        <f>VLOOKUP(H10,D.1983!$K:$L,2,FALSE)</f>
        <v>0.10813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>
        <f>VLOOKUP(O10,D.1983!$K:$L,2,FALSE)</f>
        <v>-102.1</v>
      </c>
      <c r="P14">
        <f>VLOOKUP(P10,D.1983!$K:$L,2,FALSE)</f>
        <v>12.55</v>
      </c>
      <c r="Q14">
        <f>VLOOKUP(Q10,D.1983!$K:$L,2,FALSE)</f>
        <v>-89.58</v>
      </c>
      <c r="R14">
        <f>VLOOKUP(R10,D.1983!$K:$L,2,FALSE)</f>
        <v>1</v>
      </c>
      <c r="S14">
        <f>VLOOKUP(S10,D.1983!$K:$L,2,FALSE)</f>
        <v>1</v>
      </c>
      <c r="T14">
        <f>VLOOKUP(T10,D.1983!$K:$L,2,FALSE)</f>
        <v>1</v>
      </c>
      <c r="U14">
        <f>VLOOKUP(U10,D.1983!$K:$L,2,FALSE)</f>
        <v>1</v>
      </c>
      <c r="V14">
        <f>VLOOKUP(V10,D.1983!$K:$L,2,FALSE)</f>
        <v>1</v>
      </c>
      <c r="W14">
        <f>VLOOKUP(W10,D.1983!$K:$L,2,FALSE)</f>
        <v>1</v>
      </c>
      <c r="X14">
        <f>VLOOKUP(X10,D.1983!$K:$L,2,FALSE)</f>
        <v>1</v>
      </c>
      <c r="Y14" t="e">
        <f>VLOOKUP(Y10,D.1983!$K:$L,2,FALSE)</f>
        <v>#N/A</v>
      </c>
      <c r="Z14" t="e">
        <f>VLOOKUP(Z10,D.1983!$K:$L,2,FALSE)</f>
        <v>#N/A</v>
      </c>
      <c r="AA14" t="e">
        <f>VLOOKUP(AA10,D.1983!$K:$L,2,FALSE)</f>
        <v>#N/A</v>
      </c>
      <c r="AB14" t="e">
        <f>VLOOKUP(AB10,D.1983!$K:$L,2,FALSE)</f>
        <v>#N/A</v>
      </c>
      <c r="AC14" t="e">
        <f>VLOOKUP(AC10,D.1983!$K:$L,2,FALSE)</f>
        <v>#N/A</v>
      </c>
      <c r="AD14" t="e">
        <f>VLOOKUP(AD10,D.1983!$K:$L,2,FALSE)</f>
        <v>#N/A</v>
      </c>
      <c r="AE14">
        <f>VLOOKUP(AE10,D.1983!$K:$L,2,FALSE)</f>
        <v>0.302257</v>
      </c>
      <c r="AF14">
        <f>VLOOKUP(AF10,D.1983!$K:$L,2,FALSE)</f>
        <v>7.0513999999999993E-2</v>
      </c>
      <c r="AG14">
        <f>VLOOKUP(AG10,D.1983!$K:$L,2,FALSE)</f>
        <v>8.5642999999999997E-2</v>
      </c>
      <c r="AH14">
        <f>VLOOKUP(AH10,D.1983!$K:$L,2,FALSE)</f>
        <v>7.2995000000000004E-2</v>
      </c>
      <c r="AI14">
        <f>VLOOKUP(AI10,D.1983!$K:$L,2,FALSE)</f>
        <v>0.347742</v>
      </c>
      <c r="AJ14">
        <f>VLOOKUP(AJ10,D.1983!$K:$L,2,FALSE)</f>
        <v>9.6254000000000006E-2</v>
      </c>
      <c r="AK14" t="e">
        <f>VLOOKUP(AK10,D.1983!$K:$L,2,FALSE)</f>
        <v>#N/A</v>
      </c>
      <c r="AL14" t="e">
        <f>VLOOKUP(AL10,D.1983!$K:$L,2,FALSE)</f>
        <v>#N/A</v>
      </c>
      <c r="AM14" t="e">
        <f>VLOOKUP(AM10,D.1983!$K:$L,2,FALSE)</f>
        <v>#N/A</v>
      </c>
      <c r="AN14" t="e">
        <f>VLOOKUP(AN10,D.1983!$K:$L,2,FALSE)</f>
        <v>#N/A</v>
      </c>
      <c r="AO14" t="e">
        <f>VLOOKUP(AO10,D.1983!$K:$L,2,FALSE)</f>
        <v>#N/A</v>
      </c>
      <c r="AP14" t="e">
        <f>VLOOKUP(AP10,D.1983!$K:$L,2,FALSE)</f>
        <v>#N/A</v>
      </c>
    </row>
    <row r="15" spans="2:42">
      <c r="B15">
        <v>1984</v>
      </c>
      <c r="C15">
        <f>VLOOKUP(C10,D.1984!$K:$L,2,FALSE)</f>
        <v>0.20612</v>
      </c>
      <c r="D15">
        <f>VLOOKUP(D10,D.1984!$K:$L,2,FALSE)</f>
        <v>0.1164</v>
      </c>
      <c r="E15">
        <f>VLOOKUP(E10,D.1984!$K:$L,2,FALSE)</f>
        <v>8.1210000000000004E-2</v>
      </c>
      <c r="F15">
        <f>VLOOKUP(F10,D.1984!$K:$L,2,FALSE)</f>
        <v>4.8759999999999998E-2</v>
      </c>
      <c r="G15">
        <f>VLOOKUP(G10,D.1984!$K:$L,2,FALSE)</f>
        <v>0.31219000000000002</v>
      </c>
      <c r="H15">
        <f>VLOOKUP(H10,D.1984!$K:$L,2,FALSE)</f>
        <v>0.11176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>
        <f>VLOOKUP(O10,D.1984!$K:$L,2,FALSE)</f>
        <v>-78.5</v>
      </c>
      <c r="P15">
        <f>VLOOKUP(P10,D.1984!$K:$L,2,FALSE)</f>
        <v>10.69</v>
      </c>
      <c r="Q15">
        <f>VLOOKUP(Q10,D.1984!$K:$L,2,FALSE)</f>
        <v>-67.81</v>
      </c>
      <c r="R15">
        <f>VLOOKUP(R10,D.1984!$K:$L,2,FALSE)</f>
        <v>1</v>
      </c>
      <c r="S15">
        <f>VLOOKUP(S10,D.1984!$K:$L,2,FALSE)</f>
        <v>1</v>
      </c>
      <c r="T15">
        <f>VLOOKUP(T10,D.1984!$K:$L,2,FALSE)</f>
        <v>1</v>
      </c>
      <c r="U15">
        <f>VLOOKUP(U10,D.1984!$K:$L,2,FALSE)</f>
        <v>1</v>
      </c>
      <c r="V15">
        <f>VLOOKUP(V10,D.1984!$K:$L,2,FALSE)</f>
        <v>1</v>
      </c>
      <c r="W15">
        <f>VLOOKUP(W10,D.1984!$K:$L,2,FALSE)</f>
        <v>1</v>
      </c>
      <c r="X15">
        <f>VLOOKUP(X10,D.1984!$K:$L,2,FALSE)</f>
        <v>1</v>
      </c>
      <c r="Y15" t="e">
        <f>VLOOKUP(Y10,D.1984!$K:$L,2,FALSE)</f>
        <v>#N/A</v>
      </c>
      <c r="Z15" t="e">
        <f>VLOOKUP(Z10,D.1984!$K:$L,2,FALSE)</f>
        <v>#N/A</v>
      </c>
      <c r="AA15" t="e">
        <f>VLOOKUP(AA10,D.1984!$K:$L,2,FALSE)</f>
        <v>#N/A</v>
      </c>
      <c r="AB15" t="e">
        <f>VLOOKUP(AB10,D.1984!$K:$L,2,FALSE)</f>
        <v>#N/A</v>
      </c>
      <c r="AC15" t="e">
        <f>VLOOKUP(AC10,D.1984!$K:$L,2,FALSE)</f>
        <v>#N/A</v>
      </c>
      <c r="AD15" t="e">
        <f>VLOOKUP(AD10,D.1984!$K:$L,2,FALSE)</f>
        <v>#N/A</v>
      </c>
      <c r="AE15">
        <f>VLOOKUP(AE10,D.1984!$K:$L,2,FALSE)</f>
        <v>0.21007999999999999</v>
      </c>
      <c r="AF15">
        <f>VLOOKUP(AF10,D.1984!$K:$L,2,FALSE)</f>
        <v>0.10255</v>
      </c>
      <c r="AG15">
        <f>VLOOKUP(AG10,D.1984!$K:$L,2,FALSE)</f>
        <v>6.6650000000000001E-2</v>
      </c>
      <c r="AH15">
        <f>VLOOKUP(AH10,D.1984!$K:$L,2,FALSE)</f>
        <v>4.6030000000000001E-2</v>
      </c>
      <c r="AI15">
        <f>VLOOKUP(AI10,D.1984!$K:$L,2,FALSE)</f>
        <v>0.29115000000000002</v>
      </c>
      <c r="AJ15">
        <f>VLOOKUP(AJ10,D.1984!$K:$L,2,FALSE)</f>
        <v>9.8900000000000002E-2</v>
      </c>
      <c r="AK15" t="e">
        <f>VLOOKUP(AK10,D.1984!$K:$L,2,FALSE)</f>
        <v>#N/A</v>
      </c>
      <c r="AL15" t="e">
        <f>VLOOKUP(AL10,D.1984!$K:$L,2,FALSE)</f>
        <v>#N/A</v>
      </c>
      <c r="AM15" t="e">
        <f>VLOOKUP(AM10,D.1984!$K:$L,2,FALSE)</f>
        <v>#N/A</v>
      </c>
      <c r="AN15" t="e">
        <f>VLOOKUP(AN10,D.1984!$K:$L,2,FALSE)</f>
        <v>#N/A</v>
      </c>
      <c r="AO15" t="e">
        <f>VLOOKUP(AO10,D.1984!$K:$L,2,FALSE)</f>
        <v>#N/A</v>
      </c>
      <c r="AP15" t="e">
        <f>VLOOKUP(AP10,D.1984!$K:$L,2,FALSE)</f>
        <v>#N/A</v>
      </c>
    </row>
    <row r="17" spans="2:42">
      <c r="B17" t="s">
        <v>24</v>
      </c>
      <c r="C17" t="s">
        <v>14</v>
      </c>
      <c r="D17" t="s">
        <v>13</v>
      </c>
      <c r="E17" t="s">
        <v>16</v>
      </c>
      <c r="F17" t="s">
        <v>11</v>
      </c>
      <c r="G17" t="s">
        <v>15</v>
      </c>
      <c r="H17" t="s">
        <v>12</v>
      </c>
      <c r="I17" t="s">
        <v>9</v>
      </c>
      <c r="J17" t="s">
        <v>10</v>
      </c>
      <c r="K17" t="s">
        <v>2</v>
      </c>
      <c r="L17" t="s">
        <v>8</v>
      </c>
      <c r="M17" t="s">
        <v>4</v>
      </c>
      <c r="N17" t="s">
        <v>7</v>
      </c>
      <c r="O17" t="s">
        <v>78</v>
      </c>
      <c r="P17" t="s">
        <v>79</v>
      </c>
      <c r="Q17" t="s">
        <v>80</v>
      </c>
      <c r="R17" t="s">
        <v>85</v>
      </c>
      <c r="S17" t="str">
        <f>CONCATENATE(C17,"_rhat")</f>
        <v>Tgi_rhat</v>
      </c>
      <c r="T17" t="str">
        <f t="shared" ref="T17" si="25">CONCATENATE(D17,"_rhat")</f>
        <v>Tga_rhat</v>
      </c>
      <c r="U17" t="str">
        <f t="shared" ref="U17" si="26">CONCATENATE(E17,"_rhat")</f>
        <v>Tig_rhat</v>
      </c>
      <c r="V17" t="str">
        <f t="shared" ref="V17" si="27">CONCATENATE(F17,"_rhat")</f>
        <v>Tag_rhat</v>
      </c>
      <c r="W17" t="str">
        <f t="shared" ref="W17" si="28">CONCATENATE(G17,"_rhat")</f>
        <v>Tia_rhat</v>
      </c>
      <c r="X17" t="str">
        <f t="shared" ref="X17" si="29">CONCATENATE(H17,"_rhat")</f>
        <v>Tai_rhat</v>
      </c>
      <c r="Y17" t="str">
        <f t="shared" ref="Y17" si="30">CONCATENATE(I17,"_rhat")</f>
        <v>Cgi_rhat</v>
      </c>
      <c r="Z17" t="str">
        <f t="shared" ref="Z17" si="31">CONCATENATE(J17,"_rhat")</f>
        <v>Cig_rhat</v>
      </c>
      <c r="AA17" t="str">
        <f t="shared" ref="AA17" si="32">CONCATENATE(K17,"_rhat")</f>
        <v>Cag_rhat</v>
      </c>
      <c r="AB17" t="str">
        <f t="shared" ref="AB17" si="33">CONCATENATE(L17,"_rhat")</f>
        <v>Cga_rhat</v>
      </c>
      <c r="AC17" t="str">
        <f t="shared" ref="AC17" si="34">CONCATENATE(M17,"_rhat")</f>
        <v>Cia_rhat</v>
      </c>
      <c r="AD17" t="str">
        <f>CONCATENATE(N17,"_rhat")</f>
        <v>Cai_rhat</v>
      </c>
      <c r="AE17" t="str">
        <f>CONCATENATE(C17,"_median")</f>
        <v>Tgi_median</v>
      </c>
      <c r="AF17" t="str">
        <f t="shared" ref="AF17" si="35">CONCATENATE(D17,"_median")</f>
        <v>Tga_median</v>
      </c>
      <c r="AG17" t="str">
        <f t="shared" ref="AG17" si="36">CONCATENATE(E17,"_median")</f>
        <v>Tig_median</v>
      </c>
      <c r="AH17" t="str">
        <f t="shared" ref="AH17" si="37">CONCATENATE(F17,"_median")</f>
        <v>Tag_median</v>
      </c>
      <c r="AI17" t="str">
        <f t="shared" ref="AI17" si="38">CONCATENATE(G17,"_median")</f>
        <v>Tia_median</v>
      </c>
      <c r="AJ17" t="str">
        <f t="shared" ref="AJ17" si="39">CONCATENATE(H17,"_median")</f>
        <v>Tai_median</v>
      </c>
      <c r="AK17" t="str">
        <f t="shared" ref="AK17" si="40">CONCATENATE(I17,"_median")</f>
        <v>Cgi_median</v>
      </c>
      <c r="AL17" t="str">
        <f t="shared" ref="AL17" si="41">CONCATENATE(J17,"_median")</f>
        <v>Cig_median</v>
      </c>
      <c r="AM17" t="str">
        <f t="shared" ref="AM17" si="42">CONCATENATE(K17,"_median")</f>
        <v>Cag_median</v>
      </c>
      <c r="AN17" t="str">
        <f t="shared" ref="AN17" si="43">CONCATENATE(L17,"_median")</f>
        <v>Cga_median</v>
      </c>
      <c r="AO17" t="str">
        <f t="shared" ref="AO17" si="44">CONCATENATE(M17,"_median")</f>
        <v>Cia_median</v>
      </c>
      <c r="AP17" t="str">
        <f t="shared" ref="AP17" si="45">CONCATENATE(N17,"_median")</f>
        <v>Cai_median</v>
      </c>
    </row>
    <row r="18" spans="2:42">
      <c r="B18">
        <v>1980</v>
      </c>
      <c r="C18">
        <f>VLOOKUP(C17,C.1980!$K:$L,2,FALSE)</f>
        <v>0.15351999999999999</v>
      </c>
      <c r="D18">
        <f>VLOOKUP(D17,C.1980!$K:$L,2,FALSE)</f>
        <v>9.2289999999999997E-2</v>
      </c>
      <c r="E18">
        <f>VLOOKUP(E17,C.1980!$K:$L,2,FALSE)</f>
        <v>0.22377</v>
      </c>
      <c r="F18">
        <f>VLOOKUP(F17,C.1980!$K:$L,2,FALSE)</f>
        <v>0.31911</v>
      </c>
      <c r="G18">
        <f>VLOOKUP(G17,C.1980!$K:$L,2,FALSE)</f>
        <v>0.13259000000000001</v>
      </c>
      <c r="H18">
        <f>VLOOKUP(H17,C.1980!$K:$L,2,FALSE)</f>
        <v>0.24501000000000001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>
        <f>VLOOKUP(O17,C.1980!$K:$L,2,FALSE)</f>
        <v>-74.760000000000005</v>
      </c>
      <c r="P18">
        <f>VLOOKUP(P17,C.1980!$K:$L,2,FALSE)</f>
        <v>9.0299999999999994</v>
      </c>
      <c r="Q18">
        <f>VLOOKUP(Q17,C.1980!$K:$L,2,FALSE)</f>
        <v>-65.73</v>
      </c>
      <c r="R18">
        <f>VLOOKUP(R17,C.1980!$K:$L,2,FALSE)</f>
        <v>1</v>
      </c>
      <c r="S18">
        <f>VLOOKUP(S17,C.1980!$K:$L,2,FALSE)</f>
        <v>1</v>
      </c>
      <c r="T18">
        <f>VLOOKUP(T17,C.1980!$K:$L,2,FALSE)</f>
        <v>1</v>
      </c>
      <c r="U18">
        <f>VLOOKUP(U17,C.1980!$K:$L,2,FALSE)</f>
        <v>1</v>
      </c>
      <c r="V18">
        <f>VLOOKUP(V17,C.1980!$K:$L,2,FALSE)</f>
        <v>1</v>
      </c>
      <c r="W18">
        <f>VLOOKUP(W17,C.1980!$K:$L,2,FALSE)</f>
        <v>1</v>
      </c>
      <c r="X18">
        <f>VLOOKUP(X17,C.1980!$K:$L,2,FALSE)</f>
        <v>1</v>
      </c>
      <c r="Y18" t="e">
        <f>VLOOKUP(Y17,C.1980!$K:$L,2,FALSE)</f>
        <v>#N/A</v>
      </c>
      <c r="Z18" t="e">
        <f>VLOOKUP(Z17,C.1980!$K:$L,2,FALSE)</f>
        <v>#N/A</v>
      </c>
      <c r="AA18" t="e">
        <f>VLOOKUP(AA17,C.1980!$K:$L,2,FALSE)</f>
        <v>#N/A</v>
      </c>
      <c r="AB18" t="e">
        <f>VLOOKUP(AB17,C.1980!$K:$L,2,FALSE)</f>
        <v>#N/A</v>
      </c>
      <c r="AC18" t="e">
        <f>VLOOKUP(AC17,C.1980!$K:$L,2,FALSE)</f>
        <v>#N/A</v>
      </c>
      <c r="AD18" t="e">
        <f>VLOOKUP(AD17,C.1980!$K:$L,2,FALSE)</f>
        <v>#N/A</v>
      </c>
      <c r="AE18">
        <f>VLOOKUP(AE17,C.1980!$K:$L,2,FALSE)</f>
        <v>0.11924999999999999</v>
      </c>
      <c r="AF18">
        <f>VLOOKUP(AF17,C.1980!$K:$L,2,FALSE)</f>
        <v>7.2959999999999997E-2</v>
      </c>
      <c r="AG18">
        <f>VLOOKUP(AG17,C.1980!$K:$L,2,FALSE)</f>
        <v>0.16807</v>
      </c>
      <c r="AH18">
        <f>VLOOKUP(AH17,C.1980!$K:$L,2,FALSE)</f>
        <v>0.26167000000000001</v>
      </c>
      <c r="AI18">
        <f>VLOOKUP(AI17,C.1980!$K:$L,2,FALSE)</f>
        <v>0.10876</v>
      </c>
      <c r="AJ18">
        <f>VLOOKUP(AJ17,C.1980!$K:$L,2,FALSE)</f>
        <v>0.19051999999999999</v>
      </c>
      <c r="AK18" t="e">
        <f>VLOOKUP(AK17,C.1980!$K:$L,2,FALSE)</f>
        <v>#N/A</v>
      </c>
      <c r="AL18" t="e">
        <f>VLOOKUP(AL17,C.1980!$K:$L,2,FALSE)</f>
        <v>#N/A</v>
      </c>
      <c r="AM18" t="e">
        <f>VLOOKUP(AM17,C.1980!$K:$L,2,FALSE)</f>
        <v>#N/A</v>
      </c>
      <c r="AN18" t="e">
        <f>VLOOKUP(AN17,C.1980!$K:$L,2,FALSE)</f>
        <v>#N/A</v>
      </c>
      <c r="AO18" t="e">
        <f>VLOOKUP(AO17,C.1980!$K:$L,2,FALSE)</f>
        <v>#N/A</v>
      </c>
      <c r="AP18" t="e">
        <f>VLOOKUP(AP17,C.1980!$K:$L,2,FALSE)</f>
        <v>#N/A</v>
      </c>
    </row>
    <row r="19" spans="2:42">
      <c r="B19">
        <v>1981</v>
      </c>
      <c r="C19">
        <f>VLOOKUP(C17,C.1981!$K:$L,2,FALSE)</f>
        <v>0.18395</v>
      </c>
      <c r="D19">
        <f>VLOOKUP(D17,C.1981!$K:$L,2,FALSE)</f>
        <v>8.1059999999999993E-2</v>
      </c>
      <c r="E19">
        <f>VLOOKUP(E17,C.1981!$K:$L,2,FALSE)</f>
        <v>0.22175</v>
      </c>
      <c r="F19">
        <f>VLOOKUP(F17,C.1981!$K:$L,2,FALSE)</f>
        <v>0.18911</v>
      </c>
      <c r="G19">
        <f>VLOOKUP(G17,C.1981!$K:$L,2,FALSE)</f>
        <v>0.1012</v>
      </c>
      <c r="H19">
        <f>VLOOKUP(H17,C.1981!$K:$L,2,FALSE)</f>
        <v>0.14799000000000001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>
        <f>VLOOKUP(O17,C.1981!$K:$L,2,FALSE)</f>
        <v>-76.739999999999995</v>
      </c>
      <c r="P19">
        <f>VLOOKUP(P17,C.1981!$K:$L,2,FALSE)</f>
        <v>10.86</v>
      </c>
      <c r="Q19">
        <f>VLOOKUP(Q17,C.1981!$K:$L,2,FALSE)</f>
        <v>-65.88</v>
      </c>
      <c r="R19">
        <f>VLOOKUP(R17,C.1981!$K:$L,2,FALSE)</f>
        <v>1</v>
      </c>
      <c r="S19">
        <f>VLOOKUP(S17,C.1981!$K:$L,2,FALSE)</f>
        <v>1</v>
      </c>
      <c r="T19">
        <f>VLOOKUP(T17,C.1981!$K:$L,2,FALSE)</f>
        <v>1</v>
      </c>
      <c r="U19">
        <f>VLOOKUP(U17,C.1981!$K:$L,2,FALSE)</f>
        <v>1</v>
      </c>
      <c r="V19">
        <f>VLOOKUP(V17,C.1981!$K:$L,2,FALSE)</f>
        <v>1</v>
      </c>
      <c r="W19">
        <f>VLOOKUP(W17,C.1981!$K:$L,2,FALSE)</f>
        <v>1</v>
      </c>
      <c r="X19">
        <f>VLOOKUP(X17,C.1981!$K:$L,2,FALSE)</f>
        <v>1</v>
      </c>
      <c r="Y19" t="e">
        <f>VLOOKUP(Y17,C.1981!$K:$L,2,FALSE)</f>
        <v>#N/A</v>
      </c>
      <c r="Z19" t="e">
        <f>VLOOKUP(Z17,C.1981!$K:$L,2,FALSE)</f>
        <v>#N/A</v>
      </c>
      <c r="AA19" t="e">
        <f>VLOOKUP(AA17,C.1981!$K:$L,2,FALSE)</f>
        <v>#N/A</v>
      </c>
      <c r="AB19" t="e">
        <f>VLOOKUP(AB17,C.1981!$K:$L,2,FALSE)</f>
        <v>#N/A</v>
      </c>
      <c r="AC19" t="e">
        <f>VLOOKUP(AC17,C.1981!$K:$L,2,FALSE)</f>
        <v>#N/A</v>
      </c>
      <c r="AD19" t="e">
        <f>VLOOKUP(AD17,C.1981!$K:$L,2,FALSE)</f>
        <v>#N/A</v>
      </c>
      <c r="AE19">
        <f>VLOOKUP(AE17,C.1981!$K:$L,2,FALSE)</f>
        <v>0.14371999999999999</v>
      </c>
      <c r="AF19">
        <f>VLOOKUP(AF17,C.1981!$K:$L,2,FALSE)</f>
        <v>6.0060000000000002E-2</v>
      </c>
      <c r="AG19">
        <f>VLOOKUP(AG17,C.1981!$K:$L,2,FALSE)</f>
        <v>0.16886000000000001</v>
      </c>
      <c r="AH19">
        <f>VLOOKUP(AH17,C.1981!$K:$L,2,FALSE)</f>
        <v>0.13655</v>
      </c>
      <c r="AI19">
        <f>VLOOKUP(AI17,C.1981!$K:$L,2,FALSE)</f>
        <v>8.022E-2</v>
      </c>
      <c r="AJ19">
        <f>VLOOKUP(AJ17,C.1981!$K:$L,2,FALSE)</f>
        <v>0.10525</v>
      </c>
      <c r="AK19" t="e">
        <f>VLOOKUP(AK17,C.1981!$K:$L,2,FALSE)</f>
        <v>#N/A</v>
      </c>
      <c r="AL19" t="e">
        <f>VLOOKUP(AL17,C.1981!$K:$L,2,FALSE)</f>
        <v>#N/A</v>
      </c>
      <c r="AM19" t="e">
        <f>VLOOKUP(AM17,C.1981!$K:$L,2,FALSE)</f>
        <v>#N/A</v>
      </c>
      <c r="AN19" t="e">
        <f>VLOOKUP(AN17,C.1981!$K:$L,2,FALSE)</f>
        <v>#N/A</v>
      </c>
      <c r="AO19" t="e">
        <f>VLOOKUP(AO17,C.1981!$K:$L,2,FALSE)</f>
        <v>#N/A</v>
      </c>
      <c r="AP19" t="e">
        <f>VLOOKUP(AP17,C.1981!$K:$L,2,FALSE)</f>
        <v>#N/A</v>
      </c>
    </row>
    <row r="20" spans="2:42">
      <c r="B20">
        <v>1982</v>
      </c>
      <c r="C20">
        <f>VLOOKUP(C17,C.1982!$K:$L,2,FALSE)</f>
        <v>0.18994</v>
      </c>
      <c r="D20">
        <f>VLOOKUP(D17,C.1982!$K:$L,2,FALSE)</f>
        <v>8.8450000000000001E-2</v>
      </c>
      <c r="E20">
        <f>VLOOKUP(E17,C.1982!$K:$L,2,FALSE)</f>
        <v>0.18540000000000001</v>
      </c>
      <c r="F20">
        <f>VLOOKUP(F17,C.1982!$K:$L,2,FALSE)</f>
        <v>0.24263999999999999</v>
      </c>
      <c r="G20">
        <f>VLOOKUP(G17,C.1982!$K:$L,2,FALSE)</f>
        <v>0.14574000000000001</v>
      </c>
      <c r="H20">
        <f>VLOOKUP(H17,C.1982!$K:$L,2,FALSE)</f>
        <v>0.21969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>
        <f>VLOOKUP(O17,C.1982!$K:$L,2,FALSE)</f>
        <v>-62.63</v>
      </c>
      <c r="P20">
        <f>VLOOKUP(P17,C.1982!$K:$L,2,FALSE)</f>
        <v>9.9730000000000008</v>
      </c>
      <c r="Q20">
        <f>VLOOKUP(Q17,C.1982!$K:$L,2,FALSE)</f>
        <v>-52.65</v>
      </c>
      <c r="R20">
        <f>VLOOKUP(R17,C.1982!$K:$L,2,FALSE)</f>
        <v>1</v>
      </c>
      <c r="S20">
        <f>VLOOKUP(S17,C.1982!$K:$L,2,FALSE)</f>
        <v>1</v>
      </c>
      <c r="T20">
        <f>VLOOKUP(T17,C.1982!$K:$L,2,FALSE)</f>
        <v>1</v>
      </c>
      <c r="U20">
        <f>VLOOKUP(U17,C.1982!$K:$L,2,FALSE)</f>
        <v>1</v>
      </c>
      <c r="V20">
        <f>VLOOKUP(V17,C.1982!$K:$L,2,FALSE)</f>
        <v>1</v>
      </c>
      <c r="W20">
        <f>VLOOKUP(W17,C.1982!$K:$L,2,FALSE)</f>
        <v>1</v>
      </c>
      <c r="X20">
        <f>VLOOKUP(X17,C.1982!$K:$L,2,FALSE)</f>
        <v>1</v>
      </c>
      <c r="Y20" t="e">
        <f>VLOOKUP(Y17,C.1982!$K:$L,2,FALSE)</f>
        <v>#N/A</v>
      </c>
      <c r="Z20" t="e">
        <f>VLOOKUP(Z17,C.1982!$K:$L,2,FALSE)</f>
        <v>#N/A</v>
      </c>
      <c r="AA20" t="e">
        <f>VLOOKUP(AA17,C.1982!$K:$L,2,FALSE)</f>
        <v>#N/A</v>
      </c>
      <c r="AB20" t="e">
        <f>VLOOKUP(AB17,C.1982!$K:$L,2,FALSE)</f>
        <v>#N/A</v>
      </c>
      <c r="AC20" t="e">
        <f>VLOOKUP(AC17,C.1982!$K:$L,2,FALSE)</f>
        <v>#N/A</v>
      </c>
      <c r="AD20" t="e">
        <f>VLOOKUP(AD17,C.1982!$K:$L,2,FALSE)</f>
        <v>#N/A</v>
      </c>
      <c r="AE20">
        <f>VLOOKUP(AE17,C.1982!$K:$L,2,FALSE)</f>
        <v>0.14871999999999999</v>
      </c>
      <c r="AF20">
        <f>VLOOKUP(AF17,C.1982!$K:$L,2,FALSE)</f>
        <v>6.6420000000000007E-2</v>
      </c>
      <c r="AG20">
        <f>VLOOKUP(AG17,C.1982!$K:$L,2,FALSE)</f>
        <v>0.13622999999999999</v>
      </c>
      <c r="AH20">
        <f>VLOOKUP(AH17,C.1982!$K:$L,2,FALSE)</f>
        <v>0.18657000000000001</v>
      </c>
      <c r="AI20">
        <f>VLOOKUP(AI17,C.1982!$K:$L,2,FALSE)</f>
        <v>0.12676999999999999</v>
      </c>
      <c r="AJ20">
        <f>VLOOKUP(AJ17,C.1982!$K:$L,2,FALSE)</f>
        <v>0.16902</v>
      </c>
      <c r="AK20" t="e">
        <f>VLOOKUP(AK17,C.1982!$K:$L,2,FALSE)</f>
        <v>#N/A</v>
      </c>
      <c r="AL20" t="e">
        <f>VLOOKUP(AL17,C.1982!$K:$L,2,FALSE)</f>
        <v>#N/A</v>
      </c>
      <c r="AM20" t="e">
        <f>VLOOKUP(AM17,C.1982!$K:$L,2,FALSE)</f>
        <v>#N/A</v>
      </c>
      <c r="AN20" t="e">
        <f>VLOOKUP(AN17,C.1982!$K:$L,2,FALSE)</f>
        <v>#N/A</v>
      </c>
      <c r="AO20" t="e">
        <f>VLOOKUP(AO17,C.1982!$K:$L,2,FALSE)</f>
        <v>#N/A</v>
      </c>
      <c r="AP20" t="e">
        <f>VLOOKUP(AP17,C.1982!$K:$L,2,FALSE)</f>
        <v>#N/A</v>
      </c>
    </row>
    <row r="21" spans="2:42">
      <c r="B21">
        <v>1983</v>
      </c>
      <c r="C21">
        <f>VLOOKUP(C17,C.1983!$K:$L,2,FALSE)</f>
        <v>0.14213000000000001</v>
      </c>
      <c r="D21">
        <f>VLOOKUP(D17,C.1983!$K:$L,2,FALSE)</f>
        <v>6.3960000000000003E-2</v>
      </c>
      <c r="E21">
        <f>VLOOKUP(E17,C.1983!$K:$L,2,FALSE)</f>
        <v>8.1689999999999999E-2</v>
      </c>
      <c r="F21">
        <f>VLOOKUP(F17,C.1983!$K:$L,2,FALSE)</f>
        <v>0.13791999999999999</v>
      </c>
      <c r="G21">
        <f>VLOOKUP(G17,C.1983!$K:$L,2,FALSE)</f>
        <v>0.18115000000000001</v>
      </c>
      <c r="H21">
        <f>VLOOKUP(H17,C.1983!$K:$L,2,FALSE)</f>
        <v>0.27654000000000001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>
        <f>VLOOKUP(O17,C.1983!$K:$L,2,FALSE)</f>
        <v>-57.75</v>
      </c>
      <c r="P21">
        <f>VLOOKUP(P17,C.1983!$K:$L,2,FALSE)</f>
        <v>10.33</v>
      </c>
      <c r="Q21">
        <f>VLOOKUP(Q17,C.1983!$K:$L,2,FALSE)</f>
        <v>-47.42</v>
      </c>
      <c r="R21">
        <f>VLOOKUP(R17,C.1983!$K:$L,2,FALSE)</f>
        <v>1</v>
      </c>
      <c r="S21">
        <f>VLOOKUP(S17,C.1983!$K:$L,2,FALSE)</f>
        <v>1</v>
      </c>
      <c r="T21">
        <f>VLOOKUP(T17,C.1983!$K:$L,2,FALSE)</f>
        <v>1</v>
      </c>
      <c r="U21">
        <f>VLOOKUP(U17,C.1983!$K:$L,2,FALSE)</f>
        <v>1</v>
      </c>
      <c r="V21">
        <f>VLOOKUP(V17,C.1983!$K:$L,2,FALSE)</f>
        <v>1</v>
      </c>
      <c r="W21">
        <f>VLOOKUP(W17,C.1983!$K:$L,2,FALSE)</f>
        <v>1</v>
      </c>
      <c r="X21">
        <f>VLOOKUP(X17,C.1983!$K:$L,2,FALSE)</f>
        <v>1</v>
      </c>
      <c r="Y21" t="e">
        <f>VLOOKUP(Y17,C.1983!$K:$L,2,FALSE)</f>
        <v>#N/A</v>
      </c>
      <c r="Z21" t="e">
        <f>VLOOKUP(Z17,C.1983!$K:$L,2,FALSE)</f>
        <v>#N/A</v>
      </c>
      <c r="AA21" t="e">
        <f>VLOOKUP(AA17,C.1983!$K:$L,2,FALSE)</f>
        <v>#N/A</v>
      </c>
      <c r="AB21" t="e">
        <f>VLOOKUP(AB17,C.1983!$K:$L,2,FALSE)</f>
        <v>#N/A</v>
      </c>
      <c r="AC21" t="e">
        <f>VLOOKUP(AC17,C.1983!$K:$L,2,FALSE)</f>
        <v>#N/A</v>
      </c>
      <c r="AD21" t="e">
        <f>VLOOKUP(AD17,C.1983!$K:$L,2,FALSE)</f>
        <v>#N/A</v>
      </c>
      <c r="AE21">
        <f>VLOOKUP(AE17,C.1983!$K:$L,2,FALSE)</f>
        <v>0.11516</v>
      </c>
      <c r="AF21">
        <f>VLOOKUP(AF17,C.1983!$K:$L,2,FALSE)</f>
        <v>4.7759999999999997E-2</v>
      </c>
      <c r="AG21">
        <f>VLOOKUP(AG17,C.1983!$K:$L,2,FALSE)</f>
        <v>5.5449999999999999E-2</v>
      </c>
      <c r="AH21">
        <f>VLOOKUP(AH17,C.1983!$K:$L,2,FALSE)</f>
        <v>9.1039999999999996E-2</v>
      </c>
      <c r="AI21">
        <f>VLOOKUP(AI17,C.1983!$K:$L,2,FALSE)</f>
        <v>0.15864</v>
      </c>
      <c r="AJ21">
        <f>VLOOKUP(AJ17,C.1983!$K:$L,2,FALSE)</f>
        <v>0.22247</v>
      </c>
      <c r="AK21" t="e">
        <f>VLOOKUP(AK17,C.1983!$K:$L,2,FALSE)</f>
        <v>#N/A</v>
      </c>
      <c r="AL21" t="e">
        <f>VLOOKUP(AL17,C.1983!$K:$L,2,FALSE)</f>
        <v>#N/A</v>
      </c>
      <c r="AM21" t="e">
        <f>VLOOKUP(AM17,C.1983!$K:$L,2,FALSE)</f>
        <v>#N/A</v>
      </c>
      <c r="AN21" t="e">
        <f>VLOOKUP(AN17,C.1983!$K:$L,2,FALSE)</f>
        <v>#N/A</v>
      </c>
      <c r="AO21" t="e">
        <f>VLOOKUP(AO17,C.1983!$K:$L,2,FALSE)</f>
        <v>#N/A</v>
      </c>
      <c r="AP21" t="e">
        <f>VLOOKUP(AP17,C.1983!$K:$L,2,FALSE)</f>
        <v>#N/A</v>
      </c>
    </row>
    <row r="22" spans="2:42">
      <c r="B22">
        <v>1984</v>
      </c>
      <c r="C22">
        <f>VLOOKUP(C17,C.1984!$K:$L,2,FALSE)</f>
        <v>0.14380999999999999</v>
      </c>
      <c r="D22">
        <f>VLOOKUP(D17,C.1984!$K:$L,2,FALSE)</f>
        <v>6.5680000000000002E-2</v>
      </c>
      <c r="E22">
        <f>VLOOKUP(E17,C.1984!$K:$L,2,FALSE)</f>
        <v>6.0970000000000003E-2</v>
      </c>
      <c r="F22">
        <f>VLOOKUP(F17,C.1984!$K:$L,2,FALSE)</f>
        <v>0.1072</v>
      </c>
      <c r="G22">
        <f>VLOOKUP(G17,C.1984!$K:$L,2,FALSE)</f>
        <v>0.17391999999999999</v>
      </c>
      <c r="H22">
        <f>VLOOKUP(H17,C.1984!$K:$L,2,FALSE)</f>
        <v>0.24021000000000001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>
        <f>VLOOKUP(O17,C.1984!$K:$L,2,FALSE)</f>
        <v>-53.49</v>
      </c>
      <c r="P22">
        <f>VLOOKUP(P17,C.1984!$K:$L,2,FALSE)</f>
        <v>10.52</v>
      </c>
      <c r="Q22">
        <f>VLOOKUP(Q17,C.1984!$K:$L,2,FALSE)</f>
        <v>-42.96</v>
      </c>
      <c r="R22">
        <f>VLOOKUP(R17,C.1984!$K:$L,2,FALSE)</f>
        <v>1</v>
      </c>
      <c r="S22">
        <f>VLOOKUP(S17,C.1984!$K:$L,2,FALSE)</f>
        <v>1</v>
      </c>
      <c r="T22">
        <f>VLOOKUP(T17,C.1984!$K:$L,2,FALSE)</f>
        <v>1</v>
      </c>
      <c r="U22">
        <f>VLOOKUP(U17,C.1984!$K:$L,2,FALSE)</f>
        <v>1</v>
      </c>
      <c r="V22">
        <f>VLOOKUP(V17,C.1984!$K:$L,2,FALSE)</f>
        <v>1</v>
      </c>
      <c r="W22">
        <f>VLOOKUP(W17,C.1984!$K:$L,2,FALSE)</f>
        <v>1</v>
      </c>
      <c r="X22">
        <f>VLOOKUP(X17,C.1984!$K:$L,2,FALSE)</f>
        <v>1</v>
      </c>
      <c r="Y22" t="e">
        <f>VLOOKUP(Y17,C.1984!$K:$L,2,FALSE)</f>
        <v>#N/A</v>
      </c>
      <c r="Z22" t="e">
        <f>VLOOKUP(Z17,C.1984!$K:$L,2,FALSE)</f>
        <v>#N/A</v>
      </c>
      <c r="AA22" t="e">
        <f>VLOOKUP(AA17,C.1984!$K:$L,2,FALSE)</f>
        <v>#N/A</v>
      </c>
      <c r="AB22" t="e">
        <f>VLOOKUP(AB17,C.1984!$K:$L,2,FALSE)</f>
        <v>#N/A</v>
      </c>
      <c r="AC22" t="e">
        <f>VLOOKUP(AC17,C.1984!$K:$L,2,FALSE)</f>
        <v>#N/A</v>
      </c>
      <c r="AD22" t="e">
        <f>VLOOKUP(AD17,C.1984!$K:$L,2,FALSE)</f>
        <v>#N/A</v>
      </c>
      <c r="AE22">
        <f>VLOOKUP(AE17,C.1984!$K:$L,2,FALSE)</f>
        <v>0.12339</v>
      </c>
      <c r="AF22">
        <f>VLOOKUP(AF17,C.1984!$K:$L,2,FALSE)</f>
        <v>4.9930000000000002E-2</v>
      </c>
      <c r="AG22">
        <f>VLOOKUP(AG17,C.1984!$K:$L,2,FALSE)</f>
        <v>4.1540000000000001E-2</v>
      </c>
      <c r="AH22">
        <f>VLOOKUP(AH17,C.1984!$K:$L,2,FALSE)</f>
        <v>6.8860000000000005E-2</v>
      </c>
      <c r="AI22">
        <f>VLOOKUP(AI17,C.1984!$K:$L,2,FALSE)</f>
        <v>0.15415999999999999</v>
      </c>
      <c r="AJ22">
        <f>VLOOKUP(AJ17,C.1984!$K:$L,2,FALSE)</f>
        <v>0.19198999999999999</v>
      </c>
      <c r="AK22" t="e">
        <f>VLOOKUP(AK17,C.1984!$K:$L,2,FALSE)</f>
        <v>#N/A</v>
      </c>
      <c r="AL22" t="e">
        <f>VLOOKUP(AL17,C.1984!$K:$L,2,FALSE)</f>
        <v>#N/A</v>
      </c>
      <c r="AM22" t="e">
        <f>VLOOKUP(AM17,C.1984!$K:$L,2,FALSE)</f>
        <v>#N/A</v>
      </c>
      <c r="AN22" t="e">
        <f>VLOOKUP(AN17,C.1984!$K:$L,2,FALSE)</f>
        <v>#N/A</v>
      </c>
      <c r="AO22" t="e">
        <f>VLOOKUP(AO17,C.1984!$K:$L,2,FALSE)</f>
        <v>#N/A</v>
      </c>
      <c r="AP22" t="e">
        <f>VLOOKUP(AP17,C.1984!$K:$L,2,FALSE)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P6"/>
  <sheetViews>
    <sheetView zoomScale="85" zoomScaleNormal="85" workbookViewId="0">
      <selection activeCell="B2" sqref="B2"/>
    </sheetView>
  </sheetViews>
  <sheetFormatPr defaultRowHeight="15"/>
  <cols>
    <col min="2" max="2" width="12.28515625" customWidth="1"/>
  </cols>
  <sheetData>
    <row r="1" spans="1:42">
      <c r="A1" t="s">
        <v>82</v>
      </c>
      <c r="B1" t="s">
        <v>84</v>
      </c>
      <c r="C1" t="s">
        <v>21</v>
      </c>
      <c r="D1" t="s">
        <v>20</v>
      </c>
      <c r="E1" t="s">
        <v>22</v>
      </c>
      <c r="F1" t="s">
        <v>18</v>
      </c>
      <c r="G1" t="s">
        <v>6</v>
      </c>
      <c r="H1" t="s">
        <v>19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Kgi_rhat</v>
      </c>
      <c r="T1" t="str">
        <f t="shared" ref="T1:AC1" si="0">CONCATENATE(D1,"_rhat")</f>
        <v>Kga_rhat</v>
      </c>
      <c r="U1" t="str">
        <f t="shared" si="0"/>
        <v>Kig_rhat</v>
      </c>
      <c r="V1" t="str">
        <f t="shared" si="0"/>
        <v>Kag_rhat</v>
      </c>
      <c r="W1" t="str">
        <f t="shared" si="0"/>
        <v>Kia_rhat</v>
      </c>
      <c r="X1" t="str">
        <f t="shared" si="0"/>
        <v>Kai_rhat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Kgi_median</v>
      </c>
      <c r="AF1" t="str">
        <f t="shared" ref="AF1:AP1" si="1">CONCATENATE(D1,"_median")</f>
        <v>Kga_median</v>
      </c>
      <c r="AG1" t="str">
        <f t="shared" si="1"/>
        <v>Kig_median</v>
      </c>
      <c r="AH1" t="str">
        <f t="shared" si="1"/>
        <v>Kag_median</v>
      </c>
      <c r="AI1" t="str">
        <f t="shared" si="1"/>
        <v>Kia_median</v>
      </c>
      <c r="AJ1" t="str">
        <f t="shared" si="1"/>
        <v>Kai_median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>
      <c r="A2" t="s">
        <v>23</v>
      </c>
      <c r="B2">
        <v>1980</v>
      </c>
      <c r="C2">
        <f>VLOOKUP(C1,D.1980!$K:$L,2,FALSE)</f>
        <v>0.5262</v>
      </c>
      <c r="D2">
        <f>VLOOKUP(D1,D.1980!$K:$L,2,FALSE)</f>
        <v>0.45567999999999997</v>
      </c>
      <c r="E2">
        <f>VLOOKUP(E1,D.1980!$K:$L,2,FALSE)</f>
        <v>0.22722999999999999</v>
      </c>
      <c r="F2">
        <f>VLOOKUP(F1,D.1980!$K:$L,2,FALSE)</f>
        <v>0.17909</v>
      </c>
      <c r="G2">
        <f>VLOOKUP(G1,D.1980!$K:$L,2,FALSE)</f>
        <v>0.34426000000000001</v>
      </c>
      <c r="H2">
        <f>VLOOKUP(H1,D.1980!$K:$L,2,FALSE)</f>
        <v>0.11676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>
        <f>VLOOKUP(O1,D.1980!$K:$L,2,FALSE)</f>
        <v>-95.17</v>
      </c>
      <c r="P2">
        <f>VLOOKUP(P1,D.1980!$K:$L,2,FALSE)</f>
        <v>9.4979999999999993</v>
      </c>
      <c r="Q2">
        <f>VLOOKUP(Q1,D.1980!$K:$L,2,FALSE)</f>
        <v>-85.68</v>
      </c>
      <c r="R2">
        <f>VLOOKUP(R1,D.1980!$K:$L,2,FALSE)</f>
        <v>1</v>
      </c>
      <c r="S2">
        <f>VLOOKUP(S1,D.1980!$K:$L,2,FALSE)</f>
        <v>1</v>
      </c>
      <c r="T2">
        <f>VLOOKUP(T1,D.1980!$K:$L,2,FALSE)</f>
        <v>1</v>
      </c>
      <c r="U2">
        <f>VLOOKUP(U1,D.1980!$K:$L,2,FALSE)</f>
        <v>1</v>
      </c>
      <c r="V2">
        <f>VLOOKUP(V1,D.1980!$K:$L,2,FALSE)</f>
        <v>1</v>
      </c>
      <c r="W2">
        <f>VLOOKUP(W1,D.1980!$K:$L,2,FALSE)</f>
        <v>1</v>
      </c>
      <c r="X2">
        <f>VLOOKUP(X1,D.1980!$K:$L,2,FALSE)</f>
        <v>1</v>
      </c>
      <c r="Y2" t="e">
        <f>VLOOKUP(Y1,D.1980!$K:$L,2,FALSE)</f>
        <v>#N/A</v>
      </c>
      <c r="Z2" t="e">
        <f>VLOOKUP(Z1,D.1980!$K:$L,2,FALSE)</f>
        <v>#N/A</v>
      </c>
      <c r="AA2" t="e">
        <f>VLOOKUP(AA1,D.1980!$K:$L,2,FALSE)</f>
        <v>#N/A</v>
      </c>
      <c r="AB2" t="e">
        <f>VLOOKUP(AB1,D.1980!$K:$L,2,FALSE)</f>
        <v>#N/A</v>
      </c>
      <c r="AC2" t="e">
        <f>VLOOKUP(AC1,D.1980!$K:$L,2,FALSE)</f>
        <v>#N/A</v>
      </c>
      <c r="AD2" t="e">
        <f>VLOOKUP(AD1,D.1980!$K:$L,2,FALSE)</f>
        <v>#N/A</v>
      </c>
      <c r="AE2">
        <f>VLOOKUP(AE1,D.1980!$K:$L,2,FALSE)</f>
        <v>0.53254000000000001</v>
      </c>
      <c r="AF2">
        <f>VLOOKUP(AF1,D.1980!$K:$L,2,FALSE)</f>
        <v>0.44257000000000002</v>
      </c>
      <c r="AG2">
        <f>VLOOKUP(AG1,D.1980!$K:$L,2,FALSE)</f>
        <v>0.21102000000000001</v>
      </c>
      <c r="AH2">
        <f>VLOOKUP(AH1,D.1980!$K:$L,2,FALSE)</f>
        <v>0.17743999999999999</v>
      </c>
      <c r="AI2">
        <f>VLOOKUP(AI1,D.1980!$K:$L,2,FALSE)</f>
        <v>0.32338</v>
      </c>
      <c r="AJ2">
        <f>VLOOKUP(AJ1,D.1980!$K:$L,2,FALSE)</f>
        <v>9.9150000000000002E-2</v>
      </c>
      <c r="AK2" t="e">
        <f>VLOOKUP(AK1,D.1980!$K:$L,2,FALSE)</f>
        <v>#N/A</v>
      </c>
      <c r="AL2" t="e">
        <f>VLOOKUP(AL1,D.1980!$K:$L,2,FALSE)</f>
        <v>#N/A</v>
      </c>
      <c r="AM2" t="e">
        <f>VLOOKUP(AM1,D.1980!$K:$L,2,FALSE)</f>
        <v>#N/A</v>
      </c>
      <c r="AN2" t="e">
        <f>VLOOKUP(AN1,D.1980!$K:$L,2,FALSE)</f>
        <v>#N/A</v>
      </c>
      <c r="AO2" t="e">
        <f>VLOOKUP(AO1,D.1980!$K:$L,2,FALSE)</f>
        <v>#N/A</v>
      </c>
      <c r="AP2" t="e">
        <f>VLOOKUP(AP1,D.1980!$K:$L,2,FALSE)</f>
        <v>#N/A</v>
      </c>
    </row>
    <row r="3" spans="1:42">
      <c r="A3" t="s">
        <v>23</v>
      </c>
      <c r="B3">
        <v>1981</v>
      </c>
      <c r="C3">
        <f>VLOOKUP(C1,D.1981!$K:$L,2,FALSE)</f>
        <v>0.41549999999999998</v>
      </c>
      <c r="D3">
        <f>VLOOKUP(D1,D.1981!$K:$L,2,FALSE)</f>
        <v>0.29137999999999997</v>
      </c>
      <c r="E3">
        <f>VLOOKUP(E1,D.1981!$K:$L,2,FALSE)</f>
        <v>0.25802000000000003</v>
      </c>
      <c r="F3">
        <f>VLOOKUP(F1,D.1981!$K:$L,2,FALSE)</f>
        <v>0.13485</v>
      </c>
      <c r="G3">
        <f>VLOOKUP(G1,D.1981!$K:$L,2,FALSE)</f>
        <v>0.21798999999999999</v>
      </c>
      <c r="H3">
        <f>VLOOKUP(H1,D.1981!$K:$L,2,FALSE)</f>
        <v>7.4200000000000002E-2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>
        <f>VLOOKUP(O1,D.1981!$K:$L,2,FALSE)</f>
        <v>-97.56</v>
      </c>
      <c r="P3">
        <f>VLOOKUP(P1,D.1981!$K:$L,2,FALSE)</f>
        <v>10.9</v>
      </c>
      <c r="Q3">
        <f>VLOOKUP(Q1,D.1981!$K:$L,2,FALSE)</f>
        <v>-86.66</v>
      </c>
      <c r="R3">
        <f>VLOOKUP(R1,D.1981!$K:$L,2,FALSE)</f>
        <v>1</v>
      </c>
      <c r="S3">
        <f>VLOOKUP(S1,D.1981!$K:$L,2,FALSE)</f>
        <v>1</v>
      </c>
      <c r="T3">
        <f>VLOOKUP(T1,D.1981!$K:$L,2,FALSE)</f>
        <v>1</v>
      </c>
      <c r="U3">
        <f>VLOOKUP(U1,D.1981!$K:$L,2,FALSE)</f>
        <v>1</v>
      </c>
      <c r="V3">
        <f>VLOOKUP(V1,D.1981!$K:$L,2,FALSE)</f>
        <v>1</v>
      </c>
      <c r="W3">
        <f>VLOOKUP(W1,D.1981!$K:$L,2,FALSE)</f>
        <v>1</v>
      </c>
      <c r="X3">
        <f>VLOOKUP(X1,D.1981!$K:$L,2,FALSE)</f>
        <v>1</v>
      </c>
      <c r="Y3" t="e">
        <f>VLOOKUP(Y1,D.1981!$K:$L,2,FALSE)</f>
        <v>#N/A</v>
      </c>
      <c r="Z3" t="e">
        <f>VLOOKUP(Z1,D.1981!$K:$L,2,FALSE)</f>
        <v>#N/A</v>
      </c>
      <c r="AA3" t="e">
        <f>VLOOKUP(AA1,D.1981!$K:$L,2,FALSE)</f>
        <v>#N/A</v>
      </c>
      <c r="AB3" t="e">
        <f>VLOOKUP(AB1,D.1981!$K:$L,2,FALSE)</f>
        <v>#N/A</v>
      </c>
      <c r="AC3" t="e">
        <f>VLOOKUP(AC1,D.1981!$K:$L,2,FALSE)</f>
        <v>#N/A</v>
      </c>
      <c r="AD3" t="e">
        <f>VLOOKUP(AD1,D.1981!$K:$L,2,FALSE)</f>
        <v>#N/A</v>
      </c>
      <c r="AE3">
        <f>VLOOKUP(AE1,D.1981!$K:$L,2,FALSE)</f>
        <v>0.40947499999999998</v>
      </c>
      <c r="AF3">
        <f>VLOOKUP(AF1,D.1981!$K:$L,2,FALSE)</f>
        <v>0.27176099999999997</v>
      </c>
      <c r="AG3">
        <f>VLOOKUP(AG1,D.1981!$K:$L,2,FALSE)</f>
        <v>0.248472</v>
      </c>
      <c r="AH3">
        <f>VLOOKUP(AH1,D.1981!$K:$L,2,FALSE)</f>
        <v>0.13179099999999999</v>
      </c>
      <c r="AI3">
        <f>VLOOKUP(AI1,D.1981!$K:$L,2,FALSE)</f>
        <v>0.19945099999999999</v>
      </c>
      <c r="AJ3">
        <f>VLOOKUP(AJ1,D.1981!$K:$L,2,FALSE)</f>
        <v>6.2023000000000002E-2</v>
      </c>
      <c r="AK3" t="e">
        <f>VLOOKUP(AK1,D.1981!$K:$L,2,FALSE)</f>
        <v>#N/A</v>
      </c>
      <c r="AL3" t="e">
        <f>VLOOKUP(AL1,D.1981!$K:$L,2,FALSE)</f>
        <v>#N/A</v>
      </c>
      <c r="AM3" t="e">
        <f>VLOOKUP(AM1,D.1981!$K:$L,2,FALSE)</f>
        <v>#N/A</v>
      </c>
      <c r="AN3" t="e">
        <f>VLOOKUP(AN1,D.1981!$K:$L,2,FALSE)</f>
        <v>#N/A</v>
      </c>
      <c r="AO3" t="e">
        <f>VLOOKUP(AO1,D.1981!$K:$L,2,FALSE)</f>
        <v>#N/A</v>
      </c>
      <c r="AP3" t="e">
        <f>VLOOKUP(AP1,D.1981!$K:$L,2,FALSE)</f>
        <v>#N/A</v>
      </c>
    </row>
    <row r="4" spans="1:42">
      <c r="A4" t="s">
        <v>23</v>
      </c>
      <c r="B4">
        <v>1982</v>
      </c>
      <c r="C4">
        <f>VLOOKUP(C1,D.1982!$K:$L,2,FALSE)</f>
        <v>0.65910999999999997</v>
      </c>
      <c r="D4">
        <f>VLOOKUP(D1,D.1982!$K:$L,2,FALSE)</f>
        <v>0.23635999999999999</v>
      </c>
      <c r="E4">
        <f>VLOOKUP(E1,D.1982!$K:$L,2,FALSE)</f>
        <v>0.42503999999999997</v>
      </c>
      <c r="F4">
        <f>VLOOKUP(F1,D.1982!$K:$L,2,FALSE)</f>
        <v>0.12255000000000001</v>
      </c>
      <c r="G4">
        <f>VLOOKUP(G1,D.1982!$K:$L,2,FALSE)</f>
        <v>0.25402000000000002</v>
      </c>
      <c r="H4">
        <f>VLOOKUP(H1,D.1982!$K:$L,2,FALSE)</f>
        <v>6.633E-2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>
        <f>VLOOKUP(O1,D.1982!$K:$L,2,FALSE)</f>
        <v>-89.63</v>
      </c>
      <c r="P4">
        <f>VLOOKUP(P1,D.1982!$K:$L,2,FALSE)</f>
        <v>10.96</v>
      </c>
      <c r="Q4">
        <f>VLOOKUP(Q1,D.1982!$K:$L,2,FALSE)</f>
        <v>-78.680000000000007</v>
      </c>
      <c r="R4">
        <f>VLOOKUP(R1,D.1982!$K:$L,2,FALSE)</f>
        <v>1.01</v>
      </c>
      <c r="S4">
        <f>VLOOKUP(S1,D.1982!$K:$L,2,FALSE)</f>
        <v>1</v>
      </c>
      <c r="T4">
        <f>VLOOKUP(T1,D.1982!$K:$L,2,FALSE)</f>
        <v>1</v>
      </c>
      <c r="U4">
        <f>VLOOKUP(U1,D.1982!$K:$L,2,FALSE)</f>
        <v>1.01</v>
      </c>
      <c r="V4">
        <f>VLOOKUP(V1,D.1982!$K:$L,2,FALSE)</f>
        <v>1</v>
      </c>
      <c r="W4">
        <f>VLOOKUP(W1,D.1982!$K:$L,2,FALSE)</f>
        <v>1.01</v>
      </c>
      <c r="X4">
        <f>VLOOKUP(X1,D.1982!$K:$L,2,FALSE)</f>
        <v>1</v>
      </c>
      <c r="Y4" t="e">
        <f>VLOOKUP(Y1,D.1982!$K:$L,2,FALSE)</f>
        <v>#N/A</v>
      </c>
      <c r="Z4" t="e">
        <f>VLOOKUP(Z1,D.1982!$K:$L,2,FALSE)</f>
        <v>#N/A</v>
      </c>
      <c r="AA4" t="e">
        <f>VLOOKUP(AA1,D.1982!$K:$L,2,FALSE)</f>
        <v>#N/A</v>
      </c>
      <c r="AB4" t="e">
        <f>VLOOKUP(AB1,D.1982!$K:$L,2,FALSE)</f>
        <v>#N/A</v>
      </c>
      <c r="AC4" t="e">
        <f>VLOOKUP(AC1,D.1982!$K:$L,2,FALSE)</f>
        <v>#N/A</v>
      </c>
      <c r="AD4" t="e">
        <f>VLOOKUP(AD1,D.1982!$K:$L,2,FALSE)</f>
        <v>#N/A</v>
      </c>
      <c r="AE4">
        <f>VLOOKUP(AE1,D.1982!$K:$L,2,FALSE)</f>
        <v>0.66713999999999996</v>
      </c>
      <c r="AF4">
        <f>VLOOKUP(AF1,D.1982!$K:$L,2,FALSE)</f>
        <v>0.20784</v>
      </c>
      <c r="AG4">
        <f>VLOOKUP(AG1,D.1982!$K:$L,2,FALSE)</f>
        <v>0.43248999999999999</v>
      </c>
      <c r="AH4">
        <f>VLOOKUP(AH1,D.1982!$K:$L,2,FALSE)</f>
        <v>0.11441999999999999</v>
      </c>
      <c r="AI4">
        <f>VLOOKUP(AI1,D.1982!$K:$L,2,FALSE)</f>
        <v>0.23238</v>
      </c>
      <c r="AJ4">
        <f>VLOOKUP(AJ1,D.1982!$K:$L,2,FALSE)</f>
        <v>5.8439999999999999E-2</v>
      </c>
      <c r="AK4" t="e">
        <f>VLOOKUP(AK1,D.1982!$K:$L,2,FALSE)</f>
        <v>#N/A</v>
      </c>
      <c r="AL4" t="e">
        <f>VLOOKUP(AL1,D.1982!$K:$L,2,FALSE)</f>
        <v>#N/A</v>
      </c>
      <c r="AM4" t="e">
        <f>VLOOKUP(AM1,D.1982!$K:$L,2,FALSE)</f>
        <v>#N/A</v>
      </c>
      <c r="AN4" t="e">
        <f>VLOOKUP(AN1,D.1982!$K:$L,2,FALSE)</f>
        <v>#N/A</v>
      </c>
      <c r="AO4" t="e">
        <f>VLOOKUP(AO1,D.1982!$K:$L,2,FALSE)</f>
        <v>#N/A</v>
      </c>
      <c r="AP4" t="e">
        <f>VLOOKUP(AP1,D.1982!$K:$L,2,FALSE)</f>
        <v>#N/A</v>
      </c>
    </row>
    <row r="5" spans="1:42">
      <c r="A5" t="s">
        <v>23</v>
      </c>
      <c r="B5">
        <v>1983</v>
      </c>
      <c r="C5">
        <f>VLOOKUP(C1,D.1983!$K:$L,2,FALSE)</f>
        <v>0.28876000000000002</v>
      </c>
      <c r="D5">
        <f>VLOOKUP(D1,D.1983!$K:$L,2,FALSE)</f>
        <v>9.0357999999999994E-2</v>
      </c>
      <c r="E5">
        <f>VLOOKUP(E1,D.1983!$K:$L,2,FALSE)</f>
        <v>9.6392000000000005E-2</v>
      </c>
      <c r="F5">
        <f>VLOOKUP(F1,D.1983!$K:$L,2,FALSE)</f>
        <v>7.0599999999999996E-2</v>
      </c>
      <c r="G5">
        <f>VLOOKUP(G1,D.1983!$K:$L,2,FALSE)</f>
        <v>0.36199799999999999</v>
      </c>
      <c r="H5">
        <f>VLOOKUP(H1,D.1983!$K:$L,2,FALSE)</f>
        <v>0.10813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>
        <f>VLOOKUP(O1,D.1983!$K:$L,2,FALSE)</f>
        <v>-102.1</v>
      </c>
      <c r="P5">
        <f>VLOOKUP(P1,D.1983!$K:$L,2,FALSE)</f>
        <v>12.55</v>
      </c>
      <c r="Q5">
        <f>VLOOKUP(Q1,D.1983!$K:$L,2,FALSE)</f>
        <v>-89.58</v>
      </c>
      <c r="R5">
        <f>VLOOKUP(R1,D.1983!$K:$L,2,FALSE)</f>
        <v>1</v>
      </c>
      <c r="S5">
        <f>VLOOKUP(S1,D.1983!$K:$L,2,FALSE)</f>
        <v>1</v>
      </c>
      <c r="T5">
        <f>VLOOKUP(T1,D.1983!$K:$L,2,FALSE)</f>
        <v>1</v>
      </c>
      <c r="U5">
        <f>VLOOKUP(U1,D.1983!$K:$L,2,FALSE)</f>
        <v>1</v>
      </c>
      <c r="V5">
        <f>VLOOKUP(V1,D.1983!$K:$L,2,FALSE)</f>
        <v>1</v>
      </c>
      <c r="W5">
        <f>VLOOKUP(W1,D.1983!$K:$L,2,FALSE)</f>
        <v>1</v>
      </c>
      <c r="X5">
        <f>VLOOKUP(X1,D.1983!$K:$L,2,FALSE)</f>
        <v>1</v>
      </c>
      <c r="Y5" t="e">
        <f>VLOOKUP(Y1,D.1983!$K:$L,2,FALSE)</f>
        <v>#N/A</v>
      </c>
      <c r="Z5" t="e">
        <f>VLOOKUP(Z1,D.1983!$K:$L,2,FALSE)</f>
        <v>#N/A</v>
      </c>
      <c r="AA5" t="e">
        <f>VLOOKUP(AA1,D.1983!$K:$L,2,FALSE)</f>
        <v>#N/A</v>
      </c>
      <c r="AB5" t="e">
        <f>VLOOKUP(AB1,D.1983!$K:$L,2,FALSE)</f>
        <v>#N/A</v>
      </c>
      <c r="AC5" t="e">
        <f>VLOOKUP(AC1,D.1983!$K:$L,2,FALSE)</f>
        <v>#N/A</v>
      </c>
      <c r="AD5" t="e">
        <f>VLOOKUP(AD1,D.1983!$K:$L,2,FALSE)</f>
        <v>#N/A</v>
      </c>
      <c r="AE5">
        <f>VLOOKUP(AE1,D.1983!$K:$L,2,FALSE)</f>
        <v>0.302257</v>
      </c>
      <c r="AF5">
        <f>VLOOKUP(AF1,D.1983!$K:$L,2,FALSE)</f>
        <v>7.0513999999999993E-2</v>
      </c>
      <c r="AG5">
        <f>VLOOKUP(AG1,D.1983!$K:$L,2,FALSE)</f>
        <v>8.5642999999999997E-2</v>
      </c>
      <c r="AH5">
        <f>VLOOKUP(AH1,D.1983!$K:$L,2,FALSE)</f>
        <v>7.2995000000000004E-2</v>
      </c>
      <c r="AI5">
        <f>VLOOKUP(AI1,D.1983!$K:$L,2,FALSE)</f>
        <v>0.347742</v>
      </c>
      <c r="AJ5">
        <f>VLOOKUP(AJ1,D.1983!$K:$L,2,FALSE)</f>
        <v>9.6254000000000006E-2</v>
      </c>
      <c r="AK5" t="e">
        <f>VLOOKUP(AK1,D.1983!$K:$L,2,FALSE)</f>
        <v>#N/A</v>
      </c>
      <c r="AL5" t="e">
        <f>VLOOKUP(AL1,D.1983!$K:$L,2,FALSE)</f>
        <v>#N/A</v>
      </c>
      <c r="AM5" t="e">
        <f>VLOOKUP(AM1,D.1983!$K:$L,2,FALSE)</f>
        <v>#N/A</v>
      </c>
      <c r="AN5" t="e">
        <f>VLOOKUP(AN1,D.1983!$K:$L,2,FALSE)</f>
        <v>#N/A</v>
      </c>
      <c r="AO5" t="e">
        <f>VLOOKUP(AO1,D.1983!$K:$L,2,FALSE)</f>
        <v>#N/A</v>
      </c>
      <c r="AP5" t="e">
        <f>VLOOKUP(AP1,D.1983!$K:$L,2,FALSE)</f>
        <v>#N/A</v>
      </c>
    </row>
    <row r="6" spans="1:42">
      <c r="A6" t="s">
        <v>23</v>
      </c>
      <c r="B6">
        <v>1984</v>
      </c>
      <c r="C6">
        <f>VLOOKUP(C1,D.1984!$K:$L,2,FALSE)</f>
        <v>0.20612</v>
      </c>
      <c r="D6">
        <f>VLOOKUP(D1,D.1984!$K:$L,2,FALSE)</f>
        <v>0.1164</v>
      </c>
      <c r="E6">
        <f>VLOOKUP(E1,D.1984!$K:$L,2,FALSE)</f>
        <v>8.1210000000000004E-2</v>
      </c>
      <c r="F6">
        <f>VLOOKUP(F1,D.1984!$K:$L,2,FALSE)</f>
        <v>4.8759999999999998E-2</v>
      </c>
      <c r="G6">
        <f>VLOOKUP(G1,D.1984!$K:$L,2,FALSE)</f>
        <v>0.31219000000000002</v>
      </c>
      <c r="H6">
        <f>VLOOKUP(H1,D.1984!$K:$L,2,FALSE)</f>
        <v>0.11176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>
        <f>VLOOKUP(O1,D.1984!$K:$L,2,FALSE)</f>
        <v>-78.5</v>
      </c>
      <c r="P6">
        <f>VLOOKUP(P1,D.1984!$K:$L,2,FALSE)</f>
        <v>10.69</v>
      </c>
      <c r="Q6">
        <f>VLOOKUP(Q1,D.1984!$K:$L,2,FALSE)</f>
        <v>-67.81</v>
      </c>
      <c r="R6">
        <f>VLOOKUP(R1,D.1984!$K:$L,2,FALSE)</f>
        <v>1</v>
      </c>
      <c r="S6">
        <f>VLOOKUP(S1,D.1984!$K:$L,2,FALSE)</f>
        <v>1</v>
      </c>
      <c r="T6">
        <f>VLOOKUP(T1,D.1984!$K:$L,2,FALSE)</f>
        <v>1</v>
      </c>
      <c r="U6">
        <f>VLOOKUP(U1,D.1984!$K:$L,2,FALSE)</f>
        <v>1</v>
      </c>
      <c r="V6">
        <f>VLOOKUP(V1,D.1984!$K:$L,2,FALSE)</f>
        <v>1</v>
      </c>
      <c r="W6">
        <f>VLOOKUP(W1,D.1984!$K:$L,2,FALSE)</f>
        <v>1</v>
      </c>
      <c r="X6">
        <f>VLOOKUP(X1,D.1984!$K:$L,2,FALSE)</f>
        <v>1</v>
      </c>
      <c r="Y6" t="e">
        <f>VLOOKUP(Y1,D.1984!$K:$L,2,FALSE)</f>
        <v>#N/A</v>
      </c>
      <c r="Z6" t="e">
        <f>VLOOKUP(Z1,D.1984!$K:$L,2,FALSE)</f>
        <v>#N/A</v>
      </c>
      <c r="AA6" t="e">
        <f>VLOOKUP(AA1,D.1984!$K:$L,2,FALSE)</f>
        <v>#N/A</v>
      </c>
      <c r="AB6" t="e">
        <f>VLOOKUP(AB1,D.1984!$K:$L,2,FALSE)</f>
        <v>#N/A</v>
      </c>
      <c r="AC6" t="e">
        <f>VLOOKUP(AC1,D.1984!$K:$L,2,FALSE)</f>
        <v>#N/A</v>
      </c>
      <c r="AD6" t="e">
        <f>VLOOKUP(AD1,D.1984!$K:$L,2,FALSE)</f>
        <v>#N/A</v>
      </c>
      <c r="AE6">
        <f>VLOOKUP(AE1,D.1984!$K:$L,2,FALSE)</f>
        <v>0.21007999999999999</v>
      </c>
      <c r="AF6">
        <f>VLOOKUP(AF1,D.1984!$K:$L,2,FALSE)</f>
        <v>0.10255</v>
      </c>
      <c r="AG6">
        <f>VLOOKUP(AG1,D.1984!$K:$L,2,FALSE)</f>
        <v>6.6650000000000001E-2</v>
      </c>
      <c r="AH6">
        <f>VLOOKUP(AH1,D.1984!$K:$L,2,FALSE)</f>
        <v>4.6030000000000001E-2</v>
      </c>
      <c r="AI6">
        <f>VLOOKUP(AI1,D.1984!$K:$L,2,FALSE)</f>
        <v>0.29115000000000002</v>
      </c>
      <c r="AJ6">
        <f>VLOOKUP(AJ1,D.1984!$K:$L,2,FALSE)</f>
        <v>9.8900000000000002E-2</v>
      </c>
      <c r="AK6" t="e">
        <f>VLOOKUP(AK1,D.1984!$K:$L,2,FALSE)</f>
        <v>#N/A</v>
      </c>
      <c r="AL6" t="e">
        <f>VLOOKUP(AL1,D.1984!$K:$L,2,FALSE)</f>
        <v>#N/A</v>
      </c>
      <c r="AM6" t="e">
        <f>VLOOKUP(AM1,D.1984!$K:$L,2,FALSE)</f>
        <v>#N/A</v>
      </c>
      <c r="AN6" t="e">
        <f>VLOOKUP(AN1,D.1984!$K:$L,2,FALSE)</f>
        <v>#N/A</v>
      </c>
      <c r="AO6" t="e">
        <f>VLOOKUP(AO1,D.1984!$K:$L,2,FALSE)</f>
        <v>#N/A</v>
      </c>
      <c r="AP6" t="e">
        <f>VLOOKUP(AP1,D.1984!$K:$L,2,FALSE)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P6"/>
  <sheetViews>
    <sheetView zoomScale="85" zoomScaleNormal="85" workbookViewId="0">
      <selection activeCell="C1" sqref="C1"/>
    </sheetView>
  </sheetViews>
  <sheetFormatPr defaultRowHeight="15"/>
  <cols>
    <col min="2" max="2" width="12.28515625" customWidth="1"/>
  </cols>
  <sheetData>
    <row r="1" spans="1:42">
      <c r="A1" t="s">
        <v>82</v>
      </c>
      <c r="B1" t="s">
        <v>84</v>
      </c>
      <c r="C1" t="s">
        <v>14</v>
      </c>
      <c r="D1" t="s">
        <v>13</v>
      </c>
      <c r="E1" t="s">
        <v>16</v>
      </c>
      <c r="F1" t="s">
        <v>11</v>
      </c>
      <c r="G1" t="s">
        <v>15</v>
      </c>
      <c r="H1" t="s">
        <v>12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Tgi_rhat</v>
      </c>
      <c r="T1" t="str">
        <f t="shared" ref="T1:AC1" si="0">CONCATENATE(D1,"_rhat")</f>
        <v>Tga_rhat</v>
      </c>
      <c r="U1" t="str">
        <f t="shared" si="0"/>
        <v>Tig_rhat</v>
      </c>
      <c r="V1" t="str">
        <f t="shared" si="0"/>
        <v>Tag_rhat</v>
      </c>
      <c r="W1" t="str">
        <f t="shared" si="0"/>
        <v>Tia_rhat</v>
      </c>
      <c r="X1" t="str">
        <f t="shared" si="0"/>
        <v>Tai_rhat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Tgi_median</v>
      </c>
      <c r="AF1" t="str">
        <f t="shared" ref="AF1:AP1" si="1">CONCATENATE(D1,"_median")</f>
        <v>Tga_median</v>
      </c>
      <c r="AG1" t="str">
        <f t="shared" si="1"/>
        <v>Tig_median</v>
      </c>
      <c r="AH1" t="str">
        <f t="shared" si="1"/>
        <v>Tag_median</v>
      </c>
      <c r="AI1" t="str">
        <f t="shared" si="1"/>
        <v>Tia_median</v>
      </c>
      <c r="AJ1" t="str">
        <f t="shared" si="1"/>
        <v>Tai_median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>
      <c r="A2" t="s">
        <v>24</v>
      </c>
      <c r="B2">
        <v>1980</v>
      </c>
      <c r="C2">
        <f>VLOOKUP(C1,C.1980!$K:$L,2,FALSE)</f>
        <v>0.15351999999999999</v>
      </c>
      <c r="D2">
        <f>VLOOKUP(D1,C.1980!$K:$L,2,FALSE)</f>
        <v>9.2289999999999997E-2</v>
      </c>
      <c r="E2">
        <f>VLOOKUP(E1,C.1980!$K:$L,2,FALSE)</f>
        <v>0.22377</v>
      </c>
      <c r="F2">
        <f>VLOOKUP(F1,C.1980!$K:$L,2,FALSE)</f>
        <v>0.31911</v>
      </c>
      <c r="G2">
        <f>VLOOKUP(G1,C.1980!$K:$L,2,FALSE)</f>
        <v>0.13259000000000001</v>
      </c>
      <c r="H2">
        <f>VLOOKUP(H1,C.1980!$K:$L,2,FALSE)</f>
        <v>0.24501000000000001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>
        <f>VLOOKUP(O1,C.1980!$K:$L,2,FALSE)</f>
        <v>-74.760000000000005</v>
      </c>
      <c r="P2">
        <f>VLOOKUP(P1,C.1980!$K:$L,2,FALSE)</f>
        <v>9.0299999999999994</v>
      </c>
      <c r="Q2">
        <f>VLOOKUP(Q1,C.1980!$K:$L,2,FALSE)</f>
        <v>-65.73</v>
      </c>
      <c r="R2">
        <f>VLOOKUP(R1,C.1980!$K:$L,2,FALSE)</f>
        <v>1</v>
      </c>
      <c r="S2">
        <f>VLOOKUP(S1,C.1980!$K:$L,2,FALSE)</f>
        <v>1</v>
      </c>
      <c r="T2">
        <f>VLOOKUP(T1,C.1980!$K:$L,2,FALSE)</f>
        <v>1</v>
      </c>
      <c r="U2">
        <f>VLOOKUP(U1,C.1980!$K:$L,2,FALSE)</f>
        <v>1</v>
      </c>
      <c r="V2">
        <f>VLOOKUP(V1,C.1980!$K:$L,2,FALSE)</f>
        <v>1</v>
      </c>
      <c r="W2">
        <f>VLOOKUP(W1,C.1980!$K:$L,2,FALSE)</f>
        <v>1</v>
      </c>
      <c r="X2">
        <f>VLOOKUP(X1,C.1980!$K:$L,2,FALSE)</f>
        <v>1</v>
      </c>
      <c r="Y2" t="e">
        <f>VLOOKUP(Y1,C.1980!$K:$L,2,FALSE)</f>
        <v>#N/A</v>
      </c>
      <c r="Z2" t="e">
        <f>VLOOKUP(Z1,C.1980!$K:$L,2,FALSE)</f>
        <v>#N/A</v>
      </c>
      <c r="AA2" t="e">
        <f>VLOOKUP(AA1,C.1980!$K:$L,2,FALSE)</f>
        <v>#N/A</v>
      </c>
      <c r="AB2" t="e">
        <f>VLOOKUP(AB1,C.1980!$K:$L,2,FALSE)</f>
        <v>#N/A</v>
      </c>
      <c r="AC2" t="e">
        <f>VLOOKUP(AC1,C.1980!$K:$L,2,FALSE)</f>
        <v>#N/A</v>
      </c>
      <c r="AD2" t="e">
        <f>VLOOKUP(AD1,C.1980!$K:$L,2,FALSE)</f>
        <v>#N/A</v>
      </c>
      <c r="AE2">
        <f>VLOOKUP(AE1,C.1980!$K:$L,2,FALSE)</f>
        <v>0.11924999999999999</v>
      </c>
      <c r="AF2">
        <f>VLOOKUP(AF1,C.1980!$K:$L,2,FALSE)</f>
        <v>7.2959999999999997E-2</v>
      </c>
      <c r="AG2">
        <f>VLOOKUP(AG1,C.1980!$K:$L,2,FALSE)</f>
        <v>0.16807</v>
      </c>
      <c r="AH2">
        <f>VLOOKUP(AH1,C.1980!$K:$L,2,FALSE)</f>
        <v>0.26167000000000001</v>
      </c>
      <c r="AI2">
        <f>VLOOKUP(AI1,C.1980!$K:$L,2,FALSE)</f>
        <v>0.10876</v>
      </c>
      <c r="AJ2">
        <f>VLOOKUP(AJ1,C.1980!$K:$L,2,FALSE)</f>
        <v>0.19051999999999999</v>
      </c>
      <c r="AK2" t="e">
        <f>VLOOKUP(AK1,C.1980!$K:$L,2,FALSE)</f>
        <v>#N/A</v>
      </c>
      <c r="AL2" t="e">
        <f>VLOOKUP(AL1,C.1980!$K:$L,2,FALSE)</f>
        <v>#N/A</v>
      </c>
      <c r="AM2" t="e">
        <f>VLOOKUP(AM1,C.1980!$K:$L,2,FALSE)</f>
        <v>#N/A</v>
      </c>
      <c r="AN2" t="e">
        <f>VLOOKUP(AN1,C.1980!$K:$L,2,FALSE)</f>
        <v>#N/A</v>
      </c>
      <c r="AO2" t="e">
        <f>VLOOKUP(AO1,C.1980!$K:$L,2,FALSE)</f>
        <v>#N/A</v>
      </c>
      <c r="AP2" t="e">
        <f>VLOOKUP(AP1,C.1980!$K:$L,2,FALSE)</f>
        <v>#N/A</v>
      </c>
    </row>
    <row r="3" spans="1:42">
      <c r="A3" t="s">
        <v>24</v>
      </c>
      <c r="B3">
        <v>1981</v>
      </c>
      <c r="C3">
        <f>VLOOKUP(C1,C.1981!$K:$L,2,FALSE)</f>
        <v>0.18395</v>
      </c>
      <c r="D3">
        <f>VLOOKUP(D1,C.1981!$K:$L,2,FALSE)</f>
        <v>8.1059999999999993E-2</v>
      </c>
      <c r="E3">
        <f>VLOOKUP(E1,C.1981!$K:$L,2,FALSE)</f>
        <v>0.22175</v>
      </c>
      <c r="F3">
        <f>VLOOKUP(F1,C.1981!$K:$L,2,FALSE)</f>
        <v>0.18911</v>
      </c>
      <c r="G3">
        <f>VLOOKUP(G1,C.1981!$K:$L,2,FALSE)</f>
        <v>0.1012</v>
      </c>
      <c r="H3">
        <f>VLOOKUP(H1,C.1981!$K:$L,2,FALSE)</f>
        <v>0.14799000000000001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>
        <f>VLOOKUP(O1,C.1981!$K:$L,2,FALSE)</f>
        <v>-76.739999999999995</v>
      </c>
      <c r="P3">
        <f>VLOOKUP(P1,C.1981!$K:$L,2,FALSE)</f>
        <v>10.86</v>
      </c>
      <c r="Q3">
        <f>VLOOKUP(Q1,C.1981!$K:$L,2,FALSE)</f>
        <v>-65.88</v>
      </c>
      <c r="R3">
        <f>VLOOKUP(R1,C.1981!$K:$L,2,FALSE)</f>
        <v>1</v>
      </c>
      <c r="S3">
        <f>VLOOKUP(S1,C.1981!$K:$L,2,FALSE)</f>
        <v>1</v>
      </c>
      <c r="T3">
        <f>VLOOKUP(T1,C.1981!$K:$L,2,FALSE)</f>
        <v>1</v>
      </c>
      <c r="U3">
        <f>VLOOKUP(U1,C.1981!$K:$L,2,FALSE)</f>
        <v>1</v>
      </c>
      <c r="V3">
        <f>VLOOKUP(V1,C.1981!$K:$L,2,FALSE)</f>
        <v>1</v>
      </c>
      <c r="W3">
        <f>VLOOKUP(W1,C.1981!$K:$L,2,FALSE)</f>
        <v>1</v>
      </c>
      <c r="X3">
        <f>VLOOKUP(X1,C.1981!$K:$L,2,FALSE)</f>
        <v>1</v>
      </c>
      <c r="Y3" t="e">
        <f>VLOOKUP(Y1,C.1981!$K:$L,2,FALSE)</f>
        <v>#N/A</v>
      </c>
      <c r="Z3" t="e">
        <f>VLOOKUP(Z1,C.1981!$K:$L,2,FALSE)</f>
        <v>#N/A</v>
      </c>
      <c r="AA3" t="e">
        <f>VLOOKUP(AA1,C.1981!$K:$L,2,FALSE)</f>
        <v>#N/A</v>
      </c>
      <c r="AB3" t="e">
        <f>VLOOKUP(AB1,C.1981!$K:$L,2,FALSE)</f>
        <v>#N/A</v>
      </c>
      <c r="AC3" t="e">
        <f>VLOOKUP(AC1,C.1981!$K:$L,2,FALSE)</f>
        <v>#N/A</v>
      </c>
      <c r="AD3" t="e">
        <f>VLOOKUP(AD1,C.1981!$K:$L,2,FALSE)</f>
        <v>#N/A</v>
      </c>
      <c r="AE3">
        <f>VLOOKUP(AE1,C.1981!$K:$L,2,FALSE)</f>
        <v>0.14371999999999999</v>
      </c>
      <c r="AF3">
        <f>VLOOKUP(AF1,C.1981!$K:$L,2,FALSE)</f>
        <v>6.0060000000000002E-2</v>
      </c>
      <c r="AG3">
        <f>VLOOKUP(AG1,C.1981!$K:$L,2,FALSE)</f>
        <v>0.16886000000000001</v>
      </c>
      <c r="AH3">
        <f>VLOOKUP(AH1,C.1981!$K:$L,2,FALSE)</f>
        <v>0.13655</v>
      </c>
      <c r="AI3">
        <f>VLOOKUP(AI1,C.1981!$K:$L,2,FALSE)</f>
        <v>8.022E-2</v>
      </c>
      <c r="AJ3">
        <f>VLOOKUP(AJ1,C.1981!$K:$L,2,FALSE)</f>
        <v>0.10525</v>
      </c>
      <c r="AK3" t="e">
        <f>VLOOKUP(AK1,C.1981!$K:$L,2,FALSE)</f>
        <v>#N/A</v>
      </c>
      <c r="AL3" t="e">
        <f>VLOOKUP(AL1,C.1981!$K:$L,2,FALSE)</f>
        <v>#N/A</v>
      </c>
      <c r="AM3" t="e">
        <f>VLOOKUP(AM1,C.1981!$K:$L,2,FALSE)</f>
        <v>#N/A</v>
      </c>
      <c r="AN3" t="e">
        <f>VLOOKUP(AN1,C.1981!$K:$L,2,FALSE)</f>
        <v>#N/A</v>
      </c>
      <c r="AO3" t="e">
        <f>VLOOKUP(AO1,C.1981!$K:$L,2,FALSE)</f>
        <v>#N/A</v>
      </c>
      <c r="AP3" t="e">
        <f>VLOOKUP(AP1,C.1981!$K:$L,2,FALSE)</f>
        <v>#N/A</v>
      </c>
    </row>
    <row r="4" spans="1:42">
      <c r="A4" t="s">
        <v>24</v>
      </c>
      <c r="B4">
        <v>1982</v>
      </c>
      <c r="C4">
        <f>VLOOKUP(C1,C.1982!$K:$L,2,FALSE)</f>
        <v>0.18994</v>
      </c>
      <c r="D4">
        <f>VLOOKUP(D1,C.1982!$K:$L,2,FALSE)</f>
        <v>8.8450000000000001E-2</v>
      </c>
      <c r="E4">
        <f>VLOOKUP(E1,C.1982!$K:$L,2,FALSE)</f>
        <v>0.18540000000000001</v>
      </c>
      <c r="F4">
        <f>VLOOKUP(F1,C.1982!$K:$L,2,FALSE)</f>
        <v>0.24263999999999999</v>
      </c>
      <c r="G4">
        <f>VLOOKUP(G1,C.1982!$K:$L,2,FALSE)</f>
        <v>0.14574000000000001</v>
      </c>
      <c r="H4">
        <f>VLOOKUP(H1,C.1982!$K:$L,2,FALSE)</f>
        <v>0.21969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>
        <f>VLOOKUP(O1,C.1982!$K:$L,2,FALSE)</f>
        <v>-62.63</v>
      </c>
      <c r="P4">
        <f>VLOOKUP(P1,C.1982!$K:$L,2,FALSE)</f>
        <v>9.9730000000000008</v>
      </c>
      <c r="Q4">
        <f>VLOOKUP(Q1,C.1982!$K:$L,2,FALSE)</f>
        <v>-52.65</v>
      </c>
      <c r="R4">
        <f>VLOOKUP(R1,C.1982!$K:$L,2,FALSE)</f>
        <v>1</v>
      </c>
      <c r="S4">
        <f>VLOOKUP(S1,C.1982!$K:$L,2,FALSE)</f>
        <v>1</v>
      </c>
      <c r="T4">
        <f>VLOOKUP(T1,C.1982!$K:$L,2,FALSE)</f>
        <v>1</v>
      </c>
      <c r="U4">
        <f>VLOOKUP(U1,C.1982!$K:$L,2,FALSE)</f>
        <v>1</v>
      </c>
      <c r="V4">
        <f>VLOOKUP(V1,C.1982!$K:$L,2,FALSE)</f>
        <v>1</v>
      </c>
      <c r="W4">
        <f>VLOOKUP(W1,C.1982!$K:$L,2,FALSE)</f>
        <v>1</v>
      </c>
      <c r="X4">
        <f>VLOOKUP(X1,C.1982!$K:$L,2,FALSE)</f>
        <v>1</v>
      </c>
      <c r="Y4" t="e">
        <f>VLOOKUP(Y1,C.1982!$K:$L,2,FALSE)</f>
        <v>#N/A</v>
      </c>
      <c r="Z4" t="e">
        <f>VLOOKUP(Z1,C.1982!$K:$L,2,FALSE)</f>
        <v>#N/A</v>
      </c>
      <c r="AA4" t="e">
        <f>VLOOKUP(AA1,C.1982!$K:$L,2,FALSE)</f>
        <v>#N/A</v>
      </c>
      <c r="AB4" t="e">
        <f>VLOOKUP(AB1,C.1982!$K:$L,2,FALSE)</f>
        <v>#N/A</v>
      </c>
      <c r="AC4" t="e">
        <f>VLOOKUP(AC1,C.1982!$K:$L,2,FALSE)</f>
        <v>#N/A</v>
      </c>
      <c r="AD4" t="e">
        <f>VLOOKUP(AD1,C.1982!$K:$L,2,FALSE)</f>
        <v>#N/A</v>
      </c>
      <c r="AE4">
        <f>VLOOKUP(AE1,C.1982!$K:$L,2,FALSE)</f>
        <v>0.14871999999999999</v>
      </c>
      <c r="AF4">
        <f>VLOOKUP(AF1,C.1982!$K:$L,2,FALSE)</f>
        <v>6.6420000000000007E-2</v>
      </c>
      <c r="AG4">
        <f>VLOOKUP(AG1,C.1982!$K:$L,2,FALSE)</f>
        <v>0.13622999999999999</v>
      </c>
      <c r="AH4">
        <f>VLOOKUP(AH1,C.1982!$K:$L,2,FALSE)</f>
        <v>0.18657000000000001</v>
      </c>
      <c r="AI4">
        <f>VLOOKUP(AI1,C.1982!$K:$L,2,FALSE)</f>
        <v>0.12676999999999999</v>
      </c>
      <c r="AJ4">
        <f>VLOOKUP(AJ1,C.1982!$K:$L,2,FALSE)</f>
        <v>0.16902</v>
      </c>
      <c r="AK4" t="e">
        <f>VLOOKUP(AK1,C.1982!$K:$L,2,FALSE)</f>
        <v>#N/A</v>
      </c>
      <c r="AL4" t="e">
        <f>VLOOKUP(AL1,C.1982!$K:$L,2,FALSE)</f>
        <v>#N/A</v>
      </c>
      <c r="AM4" t="e">
        <f>VLOOKUP(AM1,C.1982!$K:$L,2,FALSE)</f>
        <v>#N/A</v>
      </c>
      <c r="AN4" t="e">
        <f>VLOOKUP(AN1,C.1982!$K:$L,2,FALSE)</f>
        <v>#N/A</v>
      </c>
      <c r="AO4" t="e">
        <f>VLOOKUP(AO1,C.1982!$K:$L,2,FALSE)</f>
        <v>#N/A</v>
      </c>
      <c r="AP4" t="e">
        <f>VLOOKUP(AP1,C.1982!$K:$L,2,FALSE)</f>
        <v>#N/A</v>
      </c>
    </row>
    <row r="5" spans="1:42">
      <c r="A5" t="s">
        <v>24</v>
      </c>
      <c r="B5">
        <v>1983</v>
      </c>
      <c r="C5">
        <f>VLOOKUP(C1,C.1983!$K:$L,2,FALSE)</f>
        <v>0.14213000000000001</v>
      </c>
      <c r="D5">
        <f>VLOOKUP(D1,C.1983!$K:$L,2,FALSE)</f>
        <v>6.3960000000000003E-2</v>
      </c>
      <c r="E5">
        <f>VLOOKUP(E1,C.1983!$K:$L,2,FALSE)</f>
        <v>8.1689999999999999E-2</v>
      </c>
      <c r="F5">
        <f>VLOOKUP(F1,C.1983!$K:$L,2,FALSE)</f>
        <v>0.13791999999999999</v>
      </c>
      <c r="G5">
        <f>VLOOKUP(G1,C.1983!$K:$L,2,FALSE)</f>
        <v>0.18115000000000001</v>
      </c>
      <c r="H5">
        <f>VLOOKUP(H1,C.1983!$K:$L,2,FALSE)</f>
        <v>0.27654000000000001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>
        <f>VLOOKUP(O1,C.1983!$K:$L,2,FALSE)</f>
        <v>-57.75</v>
      </c>
      <c r="P5">
        <f>VLOOKUP(P1,C.1983!$K:$L,2,FALSE)</f>
        <v>10.33</v>
      </c>
      <c r="Q5">
        <f>VLOOKUP(Q1,C.1983!$K:$L,2,FALSE)</f>
        <v>-47.42</v>
      </c>
      <c r="R5">
        <f>VLOOKUP(R1,C.1983!$K:$L,2,FALSE)</f>
        <v>1</v>
      </c>
      <c r="S5">
        <f>VLOOKUP(S1,C.1983!$K:$L,2,FALSE)</f>
        <v>1</v>
      </c>
      <c r="T5">
        <f>VLOOKUP(T1,C.1983!$K:$L,2,FALSE)</f>
        <v>1</v>
      </c>
      <c r="U5">
        <f>VLOOKUP(U1,C.1983!$K:$L,2,FALSE)</f>
        <v>1</v>
      </c>
      <c r="V5">
        <f>VLOOKUP(V1,C.1983!$K:$L,2,FALSE)</f>
        <v>1</v>
      </c>
      <c r="W5">
        <f>VLOOKUP(W1,C.1983!$K:$L,2,FALSE)</f>
        <v>1</v>
      </c>
      <c r="X5">
        <f>VLOOKUP(X1,C.1983!$K:$L,2,FALSE)</f>
        <v>1</v>
      </c>
      <c r="Y5" t="e">
        <f>VLOOKUP(Y1,C.1983!$K:$L,2,FALSE)</f>
        <v>#N/A</v>
      </c>
      <c r="Z5" t="e">
        <f>VLOOKUP(Z1,C.1983!$K:$L,2,FALSE)</f>
        <v>#N/A</v>
      </c>
      <c r="AA5" t="e">
        <f>VLOOKUP(AA1,C.1983!$K:$L,2,FALSE)</f>
        <v>#N/A</v>
      </c>
      <c r="AB5" t="e">
        <f>VLOOKUP(AB1,C.1983!$K:$L,2,FALSE)</f>
        <v>#N/A</v>
      </c>
      <c r="AC5" t="e">
        <f>VLOOKUP(AC1,C.1983!$K:$L,2,FALSE)</f>
        <v>#N/A</v>
      </c>
      <c r="AD5" t="e">
        <f>VLOOKUP(AD1,C.1983!$K:$L,2,FALSE)</f>
        <v>#N/A</v>
      </c>
      <c r="AE5">
        <f>VLOOKUP(AE1,C.1983!$K:$L,2,FALSE)</f>
        <v>0.11516</v>
      </c>
      <c r="AF5">
        <f>VLOOKUP(AF1,C.1983!$K:$L,2,FALSE)</f>
        <v>4.7759999999999997E-2</v>
      </c>
      <c r="AG5">
        <f>VLOOKUP(AG1,C.1983!$K:$L,2,FALSE)</f>
        <v>5.5449999999999999E-2</v>
      </c>
      <c r="AH5">
        <f>VLOOKUP(AH1,C.1983!$K:$L,2,FALSE)</f>
        <v>9.1039999999999996E-2</v>
      </c>
      <c r="AI5">
        <f>VLOOKUP(AI1,C.1983!$K:$L,2,FALSE)</f>
        <v>0.15864</v>
      </c>
      <c r="AJ5">
        <f>VLOOKUP(AJ1,C.1983!$K:$L,2,FALSE)</f>
        <v>0.22247</v>
      </c>
      <c r="AK5" t="e">
        <f>VLOOKUP(AK1,C.1983!$K:$L,2,FALSE)</f>
        <v>#N/A</v>
      </c>
      <c r="AL5" t="e">
        <f>VLOOKUP(AL1,C.1983!$K:$L,2,FALSE)</f>
        <v>#N/A</v>
      </c>
      <c r="AM5" t="e">
        <f>VLOOKUP(AM1,C.1983!$K:$L,2,FALSE)</f>
        <v>#N/A</v>
      </c>
      <c r="AN5" t="e">
        <f>VLOOKUP(AN1,C.1983!$K:$L,2,FALSE)</f>
        <v>#N/A</v>
      </c>
      <c r="AO5" t="e">
        <f>VLOOKUP(AO1,C.1983!$K:$L,2,FALSE)</f>
        <v>#N/A</v>
      </c>
      <c r="AP5" t="e">
        <f>VLOOKUP(AP1,C.1983!$K:$L,2,FALSE)</f>
        <v>#N/A</v>
      </c>
    </row>
    <row r="6" spans="1:42">
      <c r="A6" t="s">
        <v>24</v>
      </c>
      <c r="B6">
        <v>1984</v>
      </c>
      <c r="C6">
        <f>VLOOKUP(C1,C.1984!$K:$L,2,FALSE)</f>
        <v>0.14380999999999999</v>
      </c>
      <c r="D6">
        <f>VLOOKUP(D1,C.1984!$K:$L,2,FALSE)</f>
        <v>6.5680000000000002E-2</v>
      </c>
      <c r="E6">
        <f>VLOOKUP(E1,C.1984!$K:$L,2,FALSE)</f>
        <v>6.0970000000000003E-2</v>
      </c>
      <c r="F6">
        <f>VLOOKUP(F1,C.1984!$K:$L,2,FALSE)</f>
        <v>0.1072</v>
      </c>
      <c r="G6">
        <f>VLOOKUP(G1,C.1984!$K:$L,2,FALSE)</f>
        <v>0.17391999999999999</v>
      </c>
      <c r="H6">
        <f>VLOOKUP(H1,C.1984!$K:$L,2,FALSE)</f>
        <v>0.24021000000000001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>
        <f>VLOOKUP(O1,C.1984!$K:$L,2,FALSE)</f>
        <v>-53.49</v>
      </c>
      <c r="P6">
        <f>VLOOKUP(P1,C.1984!$K:$L,2,FALSE)</f>
        <v>10.52</v>
      </c>
      <c r="Q6">
        <f>VLOOKUP(Q1,C.1984!$K:$L,2,FALSE)</f>
        <v>-42.96</v>
      </c>
      <c r="R6">
        <f>VLOOKUP(R1,C.1984!$K:$L,2,FALSE)</f>
        <v>1</v>
      </c>
      <c r="S6">
        <f>VLOOKUP(S1,C.1984!$K:$L,2,FALSE)</f>
        <v>1</v>
      </c>
      <c r="T6">
        <f>VLOOKUP(T1,C.1984!$K:$L,2,FALSE)</f>
        <v>1</v>
      </c>
      <c r="U6">
        <f>VLOOKUP(U1,C.1984!$K:$L,2,FALSE)</f>
        <v>1</v>
      </c>
      <c r="V6">
        <f>VLOOKUP(V1,C.1984!$K:$L,2,FALSE)</f>
        <v>1</v>
      </c>
      <c r="W6">
        <f>VLOOKUP(W1,C.1984!$K:$L,2,FALSE)</f>
        <v>1</v>
      </c>
      <c r="X6">
        <f>VLOOKUP(X1,C.1984!$K:$L,2,FALSE)</f>
        <v>1</v>
      </c>
      <c r="Y6" t="e">
        <f>VLOOKUP(Y1,C.1984!$K:$L,2,FALSE)</f>
        <v>#N/A</v>
      </c>
      <c r="Z6" t="e">
        <f>VLOOKUP(Z1,C.1984!$K:$L,2,FALSE)</f>
        <v>#N/A</v>
      </c>
      <c r="AA6" t="e">
        <f>VLOOKUP(AA1,C.1984!$K:$L,2,FALSE)</f>
        <v>#N/A</v>
      </c>
      <c r="AB6" t="e">
        <f>VLOOKUP(AB1,C.1984!$K:$L,2,FALSE)</f>
        <v>#N/A</v>
      </c>
      <c r="AC6" t="e">
        <f>VLOOKUP(AC1,C.1984!$K:$L,2,FALSE)</f>
        <v>#N/A</v>
      </c>
      <c r="AD6" t="e">
        <f>VLOOKUP(AD1,C.1984!$K:$L,2,FALSE)</f>
        <v>#N/A</v>
      </c>
      <c r="AE6">
        <f>VLOOKUP(AE1,C.1984!$K:$L,2,FALSE)</f>
        <v>0.12339</v>
      </c>
      <c r="AF6">
        <f>VLOOKUP(AF1,C.1984!$K:$L,2,FALSE)</f>
        <v>4.9930000000000002E-2</v>
      </c>
      <c r="AG6">
        <f>VLOOKUP(AG1,C.1984!$K:$L,2,FALSE)</f>
        <v>4.1540000000000001E-2</v>
      </c>
      <c r="AH6">
        <f>VLOOKUP(AH1,C.1984!$K:$L,2,FALSE)</f>
        <v>6.8860000000000005E-2</v>
      </c>
      <c r="AI6">
        <f>VLOOKUP(AI1,C.1984!$K:$L,2,FALSE)</f>
        <v>0.15415999999999999</v>
      </c>
      <c r="AJ6">
        <f>VLOOKUP(AJ1,C.1984!$K:$L,2,FALSE)</f>
        <v>0.19198999999999999</v>
      </c>
      <c r="AK6" t="e">
        <f>VLOOKUP(AK1,C.1984!$K:$L,2,FALSE)</f>
        <v>#N/A</v>
      </c>
      <c r="AL6" t="e">
        <f>VLOOKUP(AL1,C.1984!$K:$L,2,FALSE)</f>
        <v>#N/A</v>
      </c>
      <c r="AM6" t="e">
        <f>VLOOKUP(AM1,C.1984!$K:$L,2,FALSE)</f>
        <v>#N/A</v>
      </c>
      <c r="AN6" t="e">
        <f>VLOOKUP(AN1,C.1984!$K:$L,2,FALSE)</f>
        <v>#N/A</v>
      </c>
      <c r="AO6" t="e">
        <f>VLOOKUP(AO1,C.1984!$K:$L,2,FALSE)</f>
        <v>#N/A</v>
      </c>
      <c r="AP6" t="e">
        <f>VLOOKUP(AP1,C.1984!$K:$L,2,FALSE)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P6"/>
  <sheetViews>
    <sheetView zoomScale="85" zoomScaleNormal="85" workbookViewId="0">
      <selection activeCell="B16" sqref="B16"/>
    </sheetView>
  </sheetViews>
  <sheetFormatPr defaultRowHeight="15"/>
  <cols>
    <col min="2" max="2" width="12.28515625" customWidth="1"/>
  </cols>
  <sheetData>
    <row r="1" spans="1:42">
      <c r="A1" t="s">
        <v>82</v>
      </c>
      <c r="B1" t="s">
        <v>84</v>
      </c>
      <c r="C1" t="s">
        <v>14</v>
      </c>
      <c r="D1" t="s">
        <v>13</v>
      </c>
      <c r="E1" t="s">
        <v>16</v>
      </c>
      <c r="F1" t="s">
        <v>11</v>
      </c>
      <c r="G1" t="s">
        <v>15</v>
      </c>
      <c r="H1" t="s">
        <v>12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Tgi_rhat</v>
      </c>
      <c r="T1" t="str">
        <f t="shared" ref="T1:AC1" si="0">CONCATENATE(D1,"_rhat")</f>
        <v>Tga_rhat</v>
      </c>
      <c r="U1" t="str">
        <f t="shared" si="0"/>
        <v>Tig_rhat</v>
      </c>
      <c r="V1" t="str">
        <f t="shared" si="0"/>
        <v>Tag_rhat</v>
      </c>
      <c r="W1" t="str">
        <f t="shared" si="0"/>
        <v>Tia_rhat</v>
      </c>
      <c r="X1" t="str">
        <f t="shared" si="0"/>
        <v>Tai_rhat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Tgi_median</v>
      </c>
      <c r="AF1" t="str">
        <f t="shared" ref="AF1:AP1" si="1">CONCATENATE(D1,"_median")</f>
        <v>Tga_median</v>
      </c>
      <c r="AG1" t="str">
        <f t="shared" si="1"/>
        <v>Tig_median</v>
      </c>
      <c r="AH1" t="str">
        <f t="shared" si="1"/>
        <v>Tag_median</v>
      </c>
      <c r="AI1" t="str">
        <f t="shared" si="1"/>
        <v>Tia_median</v>
      </c>
      <c r="AJ1" t="str">
        <f t="shared" si="1"/>
        <v>Tai_median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>
      <c r="A2" t="s">
        <v>17</v>
      </c>
      <c r="B2">
        <v>1980</v>
      </c>
      <c r="C2">
        <f>VLOOKUP(C1,H.1980!$K:$L,2,FALSE)</f>
        <v>0.66388999999999998</v>
      </c>
      <c r="D2">
        <f>VLOOKUP(D1,H.1980!$K:$L,2,FALSE)</f>
        <v>0.56916999999999995</v>
      </c>
      <c r="E2">
        <f>VLOOKUP(E1,H.1980!$K:$L,2,FALSE)</f>
        <v>0.42229</v>
      </c>
      <c r="F2">
        <f>VLOOKUP(F1,H.1980!$K:$L,2,FALSE)</f>
        <v>0.45984999999999998</v>
      </c>
      <c r="G2">
        <f>VLOOKUP(G1,H.1980!$K:$L,2,FALSE)</f>
        <v>0.48298000000000002</v>
      </c>
      <c r="H2">
        <f>VLOOKUP(H1,H.1980!$K:$L,2,FALSE)</f>
        <v>0.36069000000000001</v>
      </c>
      <c r="I2">
        <f>VLOOKUP(I1,H.1980!$K:$L,2,FALSE)</f>
        <v>0.28571000000000002</v>
      </c>
      <c r="J2">
        <f>VLOOKUP(J1,H.1980!$K:$L,2,FALSE)</f>
        <v>0.34642000000000001</v>
      </c>
      <c r="K2">
        <f>VLOOKUP(K1,H.1980!$K:$L,2,FALSE)</f>
        <v>0.35883999999999999</v>
      </c>
      <c r="L2">
        <f>VLOOKUP(L1,H.1980!$K:$L,2,FALSE)</f>
        <v>0.32652999999999999</v>
      </c>
      <c r="M2">
        <f>VLOOKUP(M1,H.1980!$K:$L,2,FALSE)</f>
        <v>0.38351000000000002</v>
      </c>
      <c r="N2">
        <f>VLOOKUP(N1,H.1980!$K:$L,2,FALSE)</f>
        <v>0.49445</v>
      </c>
      <c r="O2">
        <f>VLOOKUP(O1,H.1980!$K:$L,2,FALSE)</f>
        <v>-93.18</v>
      </c>
      <c r="P2">
        <f>VLOOKUP(P1,H.1980!$K:$L,2,FALSE)</f>
        <v>10.37</v>
      </c>
      <c r="Q2">
        <f>VLOOKUP(Q1,H.1980!$K:$L,2,FALSE)</f>
        <v>-82.81</v>
      </c>
      <c r="R2">
        <f>VLOOKUP(R1,H.1980!$K:$L,2,FALSE)</f>
        <v>1.01</v>
      </c>
      <c r="S2">
        <f>VLOOKUP(S1,H.1980!$K:$L,2,FALSE)</f>
        <v>1</v>
      </c>
      <c r="T2">
        <f>VLOOKUP(T1,H.1980!$K:$L,2,FALSE)</f>
        <v>1.01</v>
      </c>
      <c r="U2">
        <f>VLOOKUP(U1,H.1980!$K:$L,2,FALSE)</f>
        <v>1.01</v>
      </c>
      <c r="V2">
        <f>VLOOKUP(V1,H.1980!$K:$L,2,FALSE)</f>
        <v>1</v>
      </c>
      <c r="W2">
        <f>VLOOKUP(W1,H.1980!$K:$L,2,FALSE)</f>
        <v>1</v>
      </c>
      <c r="X2">
        <f>VLOOKUP(X1,H.1980!$K:$L,2,FALSE)</f>
        <v>1.01</v>
      </c>
      <c r="Y2">
        <f>VLOOKUP(Y1,H.1980!$K:$L,2,FALSE)</f>
        <v>1</v>
      </c>
      <c r="Z2">
        <f>VLOOKUP(Z1,H.1980!$K:$L,2,FALSE)</f>
        <v>1</v>
      </c>
      <c r="AA2">
        <f>VLOOKUP(AA1,H.1980!$K:$L,2,FALSE)</f>
        <v>1</v>
      </c>
      <c r="AB2">
        <f>VLOOKUP(AB1,H.1980!$K:$L,2,FALSE)</f>
        <v>1</v>
      </c>
      <c r="AC2">
        <f>VLOOKUP(AC1,H.1980!$K:$L,2,FALSE)</f>
        <v>1</v>
      </c>
      <c r="AD2">
        <f>VLOOKUP(AD1,H.1980!$K:$L,2,FALSE)</f>
        <v>1</v>
      </c>
      <c r="AE2">
        <f>VLOOKUP(AE1,H.1980!$K:$L,2,FALSE)</f>
        <v>0.71435000000000004</v>
      </c>
      <c r="AF2">
        <f>VLOOKUP(AF1,H.1980!$K:$L,2,FALSE)</f>
        <v>0.59963999999999995</v>
      </c>
      <c r="AG2">
        <f>VLOOKUP(AG1,H.1980!$K:$L,2,FALSE)</f>
        <v>0.41175</v>
      </c>
      <c r="AH2">
        <f>VLOOKUP(AH1,H.1980!$K:$L,2,FALSE)</f>
        <v>0.43636999999999998</v>
      </c>
      <c r="AI2">
        <f>VLOOKUP(AI1,H.1980!$K:$L,2,FALSE)</f>
        <v>0.46698000000000001</v>
      </c>
      <c r="AJ2">
        <f>VLOOKUP(AJ1,H.1980!$K:$L,2,FALSE)</f>
        <v>0.32485000000000003</v>
      </c>
      <c r="AK2">
        <f>VLOOKUP(AK1,H.1980!$K:$L,2,FALSE)</f>
        <v>0.23721</v>
      </c>
      <c r="AL2">
        <f>VLOOKUP(AL1,H.1980!$K:$L,2,FALSE)</f>
        <v>0.28943000000000002</v>
      </c>
      <c r="AM2">
        <f>VLOOKUP(AM1,H.1980!$K:$L,2,FALSE)</f>
        <v>0.31801000000000001</v>
      </c>
      <c r="AN2">
        <f>VLOOKUP(AN1,H.1980!$K:$L,2,FALSE)</f>
        <v>0.28388000000000002</v>
      </c>
      <c r="AO2">
        <f>VLOOKUP(AO1,H.1980!$K:$L,2,FALSE)</f>
        <v>0.34761999999999998</v>
      </c>
      <c r="AP2">
        <f>VLOOKUP(AP1,H.1980!$K:$L,2,FALSE)</f>
        <v>0.49314999999999998</v>
      </c>
    </row>
    <row r="3" spans="1:42">
      <c r="A3" t="s">
        <v>17</v>
      </c>
      <c r="B3">
        <v>1981</v>
      </c>
      <c r="C3">
        <f>VLOOKUP(C1,H.1981!$K:$L,2,FALSE)</f>
        <v>0.60148000000000001</v>
      </c>
      <c r="D3">
        <f>VLOOKUP(D1,H.1981!$K:$L,2,FALSE)</f>
        <v>0.52925999999999995</v>
      </c>
      <c r="E3">
        <f>VLOOKUP(E1,H.1981!$K:$L,2,FALSE)</f>
        <v>0.46106999999999998</v>
      </c>
      <c r="F3">
        <f>VLOOKUP(F1,H.1981!$K:$L,2,FALSE)</f>
        <v>0.44402999999999998</v>
      </c>
      <c r="G3">
        <f>VLOOKUP(G1,H.1981!$K:$L,2,FALSE)</f>
        <v>0.46586</v>
      </c>
      <c r="H3">
        <f>VLOOKUP(H1,H.1981!$K:$L,2,FALSE)</f>
        <v>0.35770999999999997</v>
      </c>
      <c r="I3">
        <f>VLOOKUP(I1,H.1981!$K:$L,2,FALSE)</f>
        <v>0.31455</v>
      </c>
      <c r="J3">
        <f>VLOOKUP(J1,H.1981!$K:$L,2,FALSE)</f>
        <v>0.36010999999999999</v>
      </c>
      <c r="K3">
        <f>VLOOKUP(K1,H.1981!$K:$L,2,FALSE)</f>
        <v>0.35565999999999998</v>
      </c>
      <c r="L3">
        <f>VLOOKUP(L1,H.1981!$K:$L,2,FALSE)</f>
        <v>0.33130999999999999</v>
      </c>
      <c r="M3">
        <f>VLOOKUP(M1,H.1981!$K:$L,2,FALSE)</f>
        <v>0.37454999999999999</v>
      </c>
      <c r="N3">
        <f>VLOOKUP(N1,H.1981!$K:$L,2,FALSE)</f>
        <v>0.50429999999999997</v>
      </c>
      <c r="O3">
        <f>VLOOKUP(O1,H.1981!$K:$L,2,FALSE)</f>
        <v>-96.63</v>
      </c>
      <c r="P3">
        <f>VLOOKUP(P1,H.1981!$K:$L,2,FALSE)</f>
        <v>11.09</v>
      </c>
      <c r="Q3">
        <f>VLOOKUP(Q1,H.1981!$K:$L,2,FALSE)</f>
        <v>-85.55</v>
      </c>
      <c r="R3">
        <f>VLOOKUP(R1,H.1981!$K:$L,2,FALSE)</f>
        <v>1.02</v>
      </c>
      <c r="S3">
        <f>VLOOKUP(S1,H.1981!$K:$L,2,FALSE)</f>
        <v>1.01</v>
      </c>
      <c r="T3">
        <f>VLOOKUP(T1,H.1981!$K:$L,2,FALSE)</f>
        <v>1.01</v>
      </c>
      <c r="U3">
        <f>VLOOKUP(U1,H.1981!$K:$L,2,FALSE)</f>
        <v>1.01</v>
      </c>
      <c r="V3">
        <f>VLOOKUP(V1,H.1981!$K:$L,2,FALSE)</f>
        <v>1</v>
      </c>
      <c r="W3">
        <f>VLOOKUP(W1,H.1981!$K:$L,2,FALSE)</f>
        <v>1.01</v>
      </c>
      <c r="X3">
        <f>VLOOKUP(X1,H.1981!$K:$L,2,FALSE)</f>
        <v>1</v>
      </c>
      <c r="Y3">
        <f>VLOOKUP(Y1,H.1981!$K:$L,2,FALSE)</f>
        <v>1</v>
      </c>
      <c r="Z3">
        <f>VLOOKUP(Z1,H.1981!$K:$L,2,FALSE)</f>
        <v>1</v>
      </c>
      <c r="AA3">
        <f>VLOOKUP(AA1,H.1981!$K:$L,2,FALSE)</f>
        <v>1</v>
      </c>
      <c r="AB3">
        <f>VLOOKUP(AB1,H.1981!$K:$L,2,FALSE)</f>
        <v>1</v>
      </c>
      <c r="AC3">
        <f>VLOOKUP(AC1,H.1981!$K:$L,2,FALSE)</f>
        <v>1</v>
      </c>
      <c r="AD3">
        <f>VLOOKUP(AD1,H.1981!$K:$L,2,FALSE)</f>
        <v>1</v>
      </c>
      <c r="AE3">
        <f>VLOOKUP(AE1,H.1981!$K:$L,2,FALSE)</f>
        <v>0.63195000000000001</v>
      </c>
      <c r="AF3">
        <f>VLOOKUP(AF1,H.1981!$K:$L,2,FALSE)</f>
        <v>0.54398000000000002</v>
      </c>
      <c r="AG3">
        <f>VLOOKUP(AG1,H.1981!$K:$L,2,FALSE)</f>
        <v>0.45380999999999999</v>
      </c>
      <c r="AH3">
        <f>VLOOKUP(AH1,H.1981!$K:$L,2,FALSE)</f>
        <v>0.41844999999999999</v>
      </c>
      <c r="AI3">
        <f>VLOOKUP(AI1,H.1981!$K:$L,2,FALSE)</f>
        <v>0.44762999999999997</v>
      </c>
      <c r="AJ3">
        <f>VLOOKUP(AJ1,H.1981!$K:$L,2,FALSE)</f>
        <v>0.31723000000000001</v>
      </c>
      <c r="AK3">
        <f>VLOOKUP(AK1,H.1981!$K:$L,2,FALSE)</f>
        <v>0.26773999999999998</v>
      </c>
      <c r="AL3">
        <f>VLOOKUP(AL1,H.1981!$K:$L,2,FALSE)</f>
        <v>0.31714999999999999</v>
      </c>
      <c r="AM3">
        <f>VLOOKUP(AM1,H.1981!$K:$L,2,FALSE)</f>
        <v>0.33592</v>
      </c>
      <c r="AN3">
        <f>VLOOKUP(AN1,H.1981!$K:$L,2,FALSE)</f>
        <v>0.28220000000000001</v>
      </c>
      <c r="AO3">
        <f>VLOOKUP(AO1,H.1981!$K:$L,2,FALSE)</f>
        <v>0.33595000000000003</v>
      </c>
      <c r="AP3">
        <f>VLOOKUP(AP1,H.1981!$K:$L,2,FALSE)</f>
        <v>0.51060000000000005</v>
      </c>
    </row>
    <row r="4" spans="1:42">
      <c r="A4" t="s">
        <v>17</v>
      </c>
      <c r="B4">
        <v>1982</v>
      </c>
      <c r="C4">
        <f>VLOOKUP(C1,H.1982!$K:$L,2,FALSE)</f>
        <v>0.74802999999999997</v>
      </c>
      <c r="D4">
        <f>VLOOKUP(D1,H.1982!$K:$L,2,FALSE)</f>
        <v>0.48655999999999999</v>
      </c>
      <c r="E4">
        <f>VLOOKUP(E1,H.1982!$K:$L,2,FALSE)</f>
        <v>0.54149999999999998</v>
      </c>
      <c r="F4">
        <f>VLOOKUP(F1,H.1982!$K:$L,2,FALSE)</f>
        <v>0.44630999999999998</v>
      </c>
      <c r="G4">
        <f>VLOOKUP(G1,H.1982!$K:$L,2,FALSE)</f>
        <v>0.48396</v>
      </c>
      <c r="H4">
        <f>VLOOKUP(H1,H.1982!$K:$L,2,FALSE)</f>
        <v>0.34516999999999998</v>
      </c>
      <c r="I4">
        <f>VLOOKUP(I1,H.1982!$K:$L,2,FALSE)</f>
        <v>0.20268</v>
      </c>
      <c r="J4">
        <f>VLOOKUP(J1,H.1982!$K:$L,2,FALSE)</f>
        <v>0.25847999999999999</v>
      </c>
      <c r="K4">
        <f>VLOOKUP(K1,H.1982!$K:$L,2,FALSE)</f>
        <v>0.40795999999999999</v>
      </c>
      <c r="L4">
        <f>VLOOKUP(L1,H.1982!$K:$L,2,FALSE)</f>
        <v>0.36053000000000002</v>
      </c>
      <c r="M4">
        <f>VLOOKUP(M1,H.1982!$K:$L,2,FALSE)</f>
        <v>0.35328999999999999</v>
      </c>
      <c r="N4">
        <f>VLOOKUP(N1,H.1982!$K:$L,2,FALSE)</f>
        <v>0.51017000000000001</v>
      </c>
      <c r="O4">
        <f>VLOOKUP(O1,H.1982!$K:$L,2,FALSE)</f>
        <v>-87.74</v>
      </c>
      <c r="P4">
        <f>VLOOKUP(P1,H.1982!$K:$L,2,FALSE)</f>
        <v>11.54</v>
      </c>
      <c r="Q4">
        <f>VLOOKUP(Q1,H.1982!$K:$L,2,FALSE)</f>
        <v>-76.2</v>
      </c>
      <c r="R4">
        <f>VLOOKUP(R1,H.1982!$K:$L,2,FALSE)</f>
        <v>1.01</v>
      </c>
      <c r="S4">
        <f>VLOOKUP(S1,H.1982!$K:$L,2,FALSE)</f>
        <v>1</v>
      </c>
      <c r="T4">
        <f>VLOOKUP(T1,H.1982!$K:$L,2,FALSE)</f>
        <v>1.01</v>
      </c>
      <c r="U4">
        <f>VLOOKUP(U1,H.1982!$K:$L,2,FALSE)</f>
        <v>1</v>
      </c>
      <c r="V4">
        <f>VLOOKUP(V1,H.1982!$K:$L,2,FALSE)</f>
        <v>1.01</v>
      </c>
      <c r="W4">
        <f>VLOOKUP(W1,H.1982!$K:$L,2,FALSE)</f>
        <v>1.01</v>
      </c>
      <c r="X4">
        <f>VLOOKUP(X1,H.1982!$K:$L,2,FALSE)</f>
        <v>1.01</v>
      </c>
      <c r="Y4">
        <f>VLOOKUP(Y1,H.1982!$K:$L,2,FALSE)</f>
        <v>1</v>
      </c>
      <c r="Z4">
        <f>VLOOKUP(Z1,H.1982!$K:$L,2,FALSE)</f>
        <v>1</v>
      </c>
      <c r="AA4">
        <f>VLOOKUP(AA1,H.1982!$K:$L,2,FALSE)</f>
        <v>1</v>
      </c>
      <c r="AB4">
        <f>VLOOKUP(AB1,H.1982!$K:$L,2,FALSE)</f>
        <v>1</v>
      </c>
      <c r="AC4">
        <f>VLOOKUP(AC1,H.1982!$K:$L,2,FALSE)</f>
        <v>1</v>
      </c>
      <c r="AD4">
        <f>VLOOKUP(AD1,H.1982!$K:$L,2,FALSE)</f>
        <v>1</v>
      </c>
      <c r="AE4">
        <f>VLOOKUP(AE1,H.1982!$K:$L,2,FALSE)</f>
        <v>0.78447999999999996</v>
      </c>
      <c r="AF4">
        <f>VLOOKUP(AF1,H.1982!$K:$L,2,FALSE)</f>
        <v>0.48282000000000003</v>
      </c>
      <c r="AG4">
        <f>VLOOKUP(AG1,H.1982!$K:$L,2,FALSE)</f>
        <v>0.55672999999999995</v>
      </c>
      <c r="AH4">
        <f>VLOOKUP(AH1,H.1982!$K:$L,2,FALSE)</f>
        <v>0.42468</v>
      </c>
      <c r="AI4">
        <f>VLOOKUP(AI1,H.1982!$K:$L,2,FALSE)</f>
        <v>0.47865000000000002</v>
      </c>
      <c r="AJ4">
        <f>VLOOKUP(AJ1,H.1982!$K:$L,2,FALSE)</f>
        <v>0.30237999999999998</v>
      </c>
      <c r="AK4">
        <f>VLOOKUP(AK1,H.1982!$K:$L,2,FALSE)</f>
        <v>0.16170999999999999</v>
      </c>
      <c r="AL4">
        <f>VLOOKUP(AL1,H.1982!$K:$L,2,FALSE)</f>
        <v>0.19370999999999999</v>
      </c>
      <c r="AM4">
        <f>VLOOKUP(AM1,H.1982!$K:$L,2,FALSE)</f>
        <v>0.38653999999999999</v>
      </c>
      <c r="AN4">
        <f>VLOOKUP(AN1,H.1982!$K:$L,2,FALSE)</f>
        <v>0.31913000000000002</v>
      </c>
      <c r="AO4">
        <f>VLOOKUP(AO1,H.1982!$K:$L,2,FALSE)</f>
        <v>0.30406</v>
      </c>
      <c r="AP4">
        <f>VLOOKUP(AP1,H.1982!$K:$L,2,FALSE)</f>
        <v>0.51839000000000002</v>
      </c>
    </row>
    <row r="5" spans="1:42">
      <c r="A5" t="s">
        <v>17</v>
      </c>
      <c r="B5">
        <v>1983</v>
      </c>
      <c r="C5">
        <f>VLOOKUP(C1,H.1983!$K:$L,2,FALSE)</f>
        <v>0.637799</v>
      </c>
      <c r="D5">
        <f>VLOOKUP(D1,H.1983!$K:$L,2,FALSE)</f>
        <v>0.419433</v>
      </c>
      <c r="E5">
        <f>VLOOKUP(E1,H.1983!$K:$L,2,FALSE)</f>
        <v>0.405891</v>
      </c>
      <c r="F5">
        <f>VLOOKUP(F1,H.1983!$K:$L,2,FALSE)</f>
        <v>0.43345400000000001</v>
      </c>
      <c r="G5">
        <f>VLOOKUP(G1,H.1983!$K:$L,2,FALSE)</f>
        <v>0.56616599999999995</v>
      </c>
      <c r="H5">
        <f>VLOOKUP(H1,H.1983!$K:$L,2,FALSE)</f>
        <v>0.35747699999999999</v>
      </c>
      <c r="I5">
        <f>VLOOKUP(I1,H.1983!$K:$L,2,FALSE)</f>
        <v>0.29030699999999998</v>
      </c>
      <c r="J5">
        <f>VLOOKUP(J1,H.1983!$K:$L,2,FALSE)</f>
        <v>0.37124299999999999</v>
      </c>
      <c r="K5">
        <f>VLOOKUP(K1,H.1983!$K:$L,2,FALSE)</f>
        <v>0.37654500000000002</v>
      </c>
      <c r="L5">
        <f>VLOOKUP(L1,H.1983!$K:$L,2,FALSE)</f>
        <v>0.39435799999999999</v>
      </c>
      <c r="M5">
        <f>VLOOKUP(M1,H.1983!$K:$L,2,FALSE)</f>
        <v>0.32336100000000001</v>
      </c>
      <c r="N5">
        <f>VLOOKUP(N1,H.1983!$K:$L,2,FALSE)</f>
        <v>0.45502399999999998</v>
      </c>
      <c r="O5">
        <f>VLOOKUP(O1,H.1983!$K:$L,2,FALSE)</f>
        <v>-101.1</v>
      </c>
      <c r="P5">
        <f>VLOOKUP(P1,H.1983!$K:$L,2,FALSE)</f>
        <v>13.63</v>
      </c>
      <c r="Q5">
        <f>VLOOKUP(Q1,H.1983!$K:$L,2,FALSE)</f>
        <v>-87.49</v>
      </c>
      <c r="R5">
        <f>VLOOKUP(R1,H.1983!$K:$L,2,FALSE)</f>
        <v>1.03</v>
      </c>
      <c r="S5">
        <f>VLOOKUP(S1,H.1983!$K:$L,2,FALSE)</f>
        <v>1.01</v>
      </c>
      <c r="T5">
        <f>VLOOKUP(T1,H.1983!$K:$L,2,FALSE)</f>
        <v>1.03</v>
      </c>
      <c r="U5">
        <f>VLOOKUP(U1,H.1983!$K:$L,2,FALSE)</f>
        <v>1.01</v>
      </c>
      <c r="V5">
        <f>VLOOKUP(V1,H.1983!$K:$L,2,FALSE)</f>
        <v>1.03</v>
      </c>
      <c r="W5">
        <f>VLOOKUP(W1,H.1983!$K:$L,2,FALSE)</f>
        <v>1</v>
      </c>
      <c r="X5">
        <f>VLOOKUP(X1,H.1983!$K:$L,2,FALSE)</f>
        <v>1</v>
      </c>
      <c r="Y5">
        <f>VLOOKUP(Y1,H.1983!$K:$L,2,FALSE)</f>
        <v>1</v>
      </c>
      <c r="Z5">
        <f>VLOOKUP(Z1,H.1983!$K:$L,2,FALSE)</f>
        <v>1</v>
      </c>
      <c r="AA5">
        <f>VLOOKUP(AA1,H.1983!$K:$L,2,FALSE)</f>
        <v>1.01</v>
      </c>
      <c r="AB5">
        <f>VLOOKUP(AB1,H.1983!$K:$L,2,FALSE)</f>
        <v>1</v>
      </c>
      <c r="AC5">
        <f>VLOOKUP(AC1,H.1983!$K:$L,2,FALSE)</f>
        <v>1</v>
      </c>
      <c r="AD5">
        <f>VLOOKUP(AD1,H.1983!$K:$L,2,FALSE)</f>
        <v>1</v>
      </c>
      <c r="AE5">
        <f>VLOOKUP(AE1,H.1983!$K:$L,2,FALSE)</f>
        <v>0.64071199999999995</v>
      </c>
      <c r="AF5">
        <f>VLOOKUP(AF1,H.1983!$K:$L,2,FALSE)</f>
        <v>0.38069799999999998</v>
      </c>
      <c r="AG5">
        <f>VLOOKUP(AG1,H.1983!$K:$L,2,FALSE)</f>
        <v>0.392287</v>
      </c>
      <c r="AH5">
        <f>VLOOKUP(AH1,H.1983!$K:$L,2,FALSE)</f>
        <v>0.390295</v>
      </c>
      <c r="AI5">
        <f>VLOOKUP(AI1,H.1983!$K:$L,2,FALSE)</f>
        <v>0.58178200000000002</v>
      </c>
      <c r="AJ5">
        <f>VLOOKUP(AJ1,H.1983!$K:$L,2,FALSE)</f>
        <v>0.33479900000000001</v>
      </c>
      <c r="AK5">
        <f>VLOOKUP(AK1,H.1983!$K:$L,2,FALSE)</f>
        <v>0.265343</v>
      </c>
      <c r="AL5">
        <f>VLOOKUP(AL1,H.1983!$K:$L,2,FALSE)</f>
        <v>0.33121</v>
      </c>
      <c r="AM5">
        <f>VLOOKUP(AM1,H.1983!$K:$L,2,FALSE)</f>
        <v>0.36874000000000001</v>
      </c>
      <c r="AN5">
        <f>VLOOKUP(AN1,H.1983!$K:$L,2,FALSE)</f>
        <v>0.36962099999999998</v>
      </c>
      <c r="AO5">
        <f>VLOOKUP(AO1,H.1983!$K:$L,2,FALSE)</f>
        <v>0.27382200000000001</v>
      </c>
      <c r="AP5">
        <f>VLOOKUP(AP1,H.1983!$K:$L,2,FALSE)</f>
        <v>0.43940299999999999</v>
      </c>
    </row>
    <row r="6" spans="1:42">
      <c r="A6" t="s">
        <v>17</v>
      </c>
      <c r="B6">
        <v>1984</v>
      </c>
      <c r="C6">
        <f>VLOOKUP(C1,H.1984!$K:$L,2,FALSE)</f>
        <v>0.56537999999999999</v>
      </c>
      <c r="D6">
        <f>VLOOKUP(D1,H.1984!$K:$L,2,FALSE)</f>
        <v>0.42968000000000001</v>
      </c>
      <c r="E6">
        <f>VLOOKUP(E1,H.1984!$K:$L,2,FALSE)</f>
        <v>0.34371000000000002</v>
      </c>
      <c r="F6">
        <f>VLOOKUP(F1,H.1984!$K:$L,2,FALSE)</f>
        <v>0.43495</v>
      </c>
      <c r="G6">
        <f>VLOOKUP(G1,H.1984!$K:$L,2,FALSE)</f>
        <v>0.55230999999999997</v>
      </c>
      <c r="H6">
        <f>VLOOKUP(H1,H.1984!$K:$L,2,FALSE)</f>
        <v>0.35189999999999999</v>
      </c>
      <c r="I6">
        <f>VLOOKUP(I1,H.1984!$K:$L,2,FALSE)</f>
        <v>0.43224000000000001</v>
      </c>
      <c r="J6">
        <f>VLOOKUP(J1,H.1984!$K:$L,2,FALSE)</f>
        <v>0.43726999999999999</v>
      </c>
      <c r="K6">
        <f>VLOOKUP(K1,H.1984!$K:$L,2,FALSE)</f>
        <v>0.38235000000000002</v>
      </c>
      <c r="L6">
        <f>VLOOKUP(L1,H.1984!$K:$L,2,FALSE)</f>
        <v>0.40122999999999998</v>
      </c>
      <c r="M6">
        <f>VLOOKUP(M1,H.1984!$K:$L,2,FALSE)</f>
        <v>0.35048000000000001</v>
      </c>
      <c r="N6">
        <f>VLOOKUP(N1,H.1984!$K:$L,2,FALSE)</f>
        <v>0.47458</v>
      </c>
      <c r="O6">
        <f>VLOOKUP(O1,H.1984!$K:$L,2,FALSE)</f>
        <v>-79.89</v>
      </c>
      <c r="P6">
        <f>VLOOKUP(P1,H.1984!$K:$L,2,FALSE)</f>
        <v>12.02</v>
      </c>
      <c r="Q6">
        <f>VLOOKUP(Q1,H.1984!$K:$L,2,FALSE)</f>
        <v>-67.87</v>
      </c>
      <c r="R6">
        <f>VLOOKUP(R1,H.1984!$K:$L,2,FALSE)</f>
        <v>1</v>
      </c>
      <c r="S6">
        <f>VLOOKUP(S1,H.1984!$K:$L,2,FALSE)</f>
        <v>1</v>
      </c>
      <c r="T6">
        <f>VLOOKUP(T1,H.1984!$K:$L,2,FALSE)</f>
        <v>1.01</v>
      </c>
      <c r="U6">
        <f>VLOOKUP(U1,H.1984!$K:$L,2,FALSE)</f>
        <v>1</v>
      </c>
      <c r="V6">
        <f>VLOOKUP(V1,H.1984!$K:$L,2,FALSE)</f>
        <v>1</v>
      </c>
      <c r="W6">
        <f>VLOOKUP(W1,H.1984!$K:$L,2,FALSE)</f>
        <v>1</v>
      </c>
      <c r="X6">
        <f>VLOOKUP(X1,H.1984!$K:$L,2,FALSE)</f>
        <v>1</v>
      </c>
      <c r="Y6">
        <f>VLOOKUP(Y1,H.1984!$K:$L,2,FALSE)</f>
        <v>1</v>
      </c>
      <c r="Z6">
        <f>VLOOKUP(Z1,H.1984!$K:$L,2,FALSE)</f>
        <v>1</v>
      </c>
      <c r="AA6">
        <f>VLOOKUP(AA1,H.1984!$K:$L,2,FALSE)</f>
        <v>1</v>
      </c>
      <c r="AB6">
        <f>VLOOKUP(AB1,H.1984!$K:$L,2,FALSE)</f>
        <v>1</v>
      </c>
      <c r="AC6">
        <f>VLOOKUP(AC1,H.1984!$K:$L,2,FALSE)</f>
        <v>1</v>
      </c>
      <c r="AD6">
        <f>VLOOKUP(AD1,H.1984!$K:$L,2,FALSE)</f>
        <v>1</v>
      </c>
      <c r="AE6">
        <f>VLOOKUP(AE1,H.1984!$K:$L,2,FALSE)</f>
        <v>0.56215000000000004</v>
      </c>
      <c r="AF6">
        <f>VLOOKUP(AF1,H.1984!$K:$L,2,FALSE)</f>
        <v>0.40067000000000003</v>
      </c>
      <c r="AG6">
        <f>VLOOKUP(AG1,H.1984!$K:$L,2,FALSE)</f>
        <v>0.30953000000000003</v>
      </c>
      <c r="AH6">
        <f>VLOOKUP(AH1,H.1984!$K:$L,2,FALSE)</f>
        <v>0.40096999999999999</v>
      </c>
      <c r="AI6">
        <f>VLOOKUP(AI1,H.1984!$K:$L,2,FALSE)</f>
        <v>0.55861000000000005</v>
      </c>
      <c r="AJ6">
        <f>VLOOKUP(AJ1,H.1984!$K:$L,2,FALSE)</f>
        <v>0.31833</v>
      </c>
      <c r="AK6">
        <f>VLOOKUP(AK1,H.1984!$K:$L,2,FALSE)</f>
        <v>0.43425000000000002</v>
      </c>
      <c r="AL6">
        <f>VLOOKUP(AL1,H.1984!$K:$L,2,FALSE)</f>
        <v>0.40587000000000001</v>
      </c>
      <c r="AM6">
        <f>VLOOKUP(AM1,H.1984!$K:$L,2,FALSE)</f>
        <v>0.35848999999999998</v>
      </c>
      <c r="AN6">
        <f>VLOOKUP(AN1,H.1984!$K:$L,2,FALSE)</f>
        <v>0.37631999999999999</v>
      </c>
      <c r="AO6">
        <f>VLOOKUP(AO1,H.1984!$K:$L,2,FALSE)</f>
        <v>0.30861</v>
      </c>
      <c r="AP6">
        <f>VLOOKUP(AP1,H.1984!$K:$L,2,FALSE)</f>
        <v>0.46392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L75"/>
  <sheetViews>
    <sheetView topLeftCell="A40" workbookViewId="0">
      <selection activeCell="O19" sqref="O19"/>
    </sheetView>
  </sheetViews>
  <sheetFormatPr defaultRowHeight="15"/>
  <cols>
    <col min="1" max="1" width="11.85546875" bestFit="1" customWidth="1"/>
    <col min="2" max="2" width="17" bestFit="1" customWidth="1"/>
    <col min="3" max="3" width="13.7109375" bestFit="1" customWidth="1"/>
    <col min="4" max="4" width="10" bestFit="1" customWidth="1"/>
    <col min="5" max="5" width="11" bestFit="1" customWidth="1"/>
    <col min="6" max="6" width="11.42578125" bestFit="1" customWidth="1"/>
    <col min="7" max="7" width="11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1980</v>
      </c>
      <c r="K4" t="s">
        <v>84</v>
      </c>
      <c r="L4">
        <f>B4</f>
        <v>1980</v>
      </c>
    </row>
    <row r="5" spans="1:12">
      <c r="A5" t="s">
        <v>30</v>
      </c>
      <c r="B5" t="s">
        <v>31</v>
      </c>
      <c r="C5">
        <v>-93.18</v>
      </c>
      <c r="K5" t="s">
        <v>78</v>
      </c>
      <c r="L5">
        <f>C5</f>
        <v>-93.18</v>
      </c>
    </row>
    <row r="6" spans="1:12">
      <c r="A6" t="s">
        <v>32</v>
      </c>
      <c r="B6">
        <v>10.37</v>
      </c>
      <c r="K6" t="s">
        <v>79</v>
      </c>
      <c r="L6">
        <f>B6</f>
        <v>10.37</v>
      </c>
    </row>
    <row r="7" spans="1:12">
      <c r="A7" t="s">
        <v>33</v>
      </c>
      <c r="B7" t="s">
        <v>31</v>
      </c>
      <c r="C7">
        <v>-82.81</v>
      </c>
      <c r="K7" t="s">
        <v>80</v>
      </c>
      <c r="L7">
        <f>C7</f>
        <v>-82.81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0.45984999999999998</v>
      </c>
      <c r="C18">
        <v>0.229652</v>
      </c>
      <c r="D18" s="2">
        <v>2.965E-4</v>
      </c>
      <c r="E18" s="2">
        <v>7.5300000000000002E-3</v>
      </c>
      <c r="K18" t="str">
        <f t="shared" ref="K18:K31" si="0">A18</f>
        <v>Tag</v>
      </c>
      <c r="L18">
        <f t="shared" ref="L18:L31" si="1">B18</f>
        <v>0.45984999999999998</v>
      </c>
    </row>
    <row r="19" spans="1:12">
      <c r="A19" t="s">
        <v>12</v>
      </c>
      <c r="B19">
        <v>0.36069000000000001</v>
      </c>
      <c r="C19">
        <v>0.23777899999999999</v>
      </c>
      <c r="D19" s="2">
        <v>3.0699999999999998E-4</v>
      </c>
      <c r="E19" s="2">
        <v>7.6559999999999996E-3</v>
      </c>
      <c r="K19" t="str">
        <f t="shared" si="0"/>
        <v>Tai</v>
      </c>
      <c r="L19">
        <f t="shared" si="1"/>
        <v>0.36069000000000001</v>
      </c>
    </row>
    <row r="20" spans="1:12">
      <c r="A20" t="s">
        <v>13</v>
      </c>
      <c r="B20">
        <v>0.56916999999999995</v>
      </c>
      <c r="C20">
        <v>0.27300099999999999</v>
      </c>
      <c r="D20" s="2">
        <v>3.524E-4</v>
      </c>
      <c r="E20" s="2">
        <v>7.7710000000000001E-3</v>
      </c>
      <c r="K20" t="str">
        <f t="shared" si="0"/>
        <v>Tga</v>
      </c>
      <c r="L20">
        <f t="shared" si="1"/>
        <v>0.56916999999999995</v>
      </c>
    </row>
    <row r="21" spans="1:12">
      <c r="A21" t="s">
        <v>14</v>
      </c>
      <c r="B21">
        <v>0.66388999999999998</v>
      </c>
      <c r="C21">
        <v>0.24538499999999999</v>
      </c>
      <c r="D21" s="2">
        <v>3.168E-4</v>
      </c>
      <c r="E21" s="2">
        <v>7.11E-3</v>
      </c>
      <c r="K21" t="str">
        <f t="shared" si="0"/>
        <v>Tgi</v>
      </c>
      <c r="L21">
        <f t="shared" si="1"/>
        <v>0.66388999999999998</v>
      </c>
    </row>
    <row r="22" spans="1:12">
      <c r="A22" t="s">
        <v>15</v>
      </c>
      <c r="B22">
        <v>0.48298000000000002</v>
      </c>
      <c r="C22">
        <v>0.26384800000000003</v>
      </c>
      <c r="D22" s="2">
        <v>3.4059999999999998E-4</v>
      </c>
      <c r="E22" s="2">
        <v>8.7539999999999996E-3</v>
      </c>
      <c r="K22" t="str">
        <f t="shared" si="0"/>
        <v>Tia</v>
      </c>
      <c r="L22">
        <f t="shared" si="1"/>
        <v>0.48298000000000002</v>
      </c>
    </row>
    <row r="23" spans="1:12">
      <c r="A23" t="s">
        <v>16</v>
      </c>
      <c r="B23">
        <v>0.42229</v>
      </c>
      <c r="C23">
        <v>0.23965500000000001</v>
      </c>
      <c r="D23" s="2">
        <v>3.0939999999999999E-4</v>
      </c>
      <c r="E23" s="2">
        <v>7.6680000000000003E-3</v>
      </c>
      <c r="K23" t="str">
        <f t="shared" si="0"/>
        <v>Tig</v>
      </c>
      <c r="L23">
        <f t="shared" si="1"/>
        <v>0.42229</v>
      </c>
    </row>
    <row r="24" spans="1:12">
      <c r="A24" t="s">
        <v>58</v>
      </c>
      <c r="B24">
        <v>0.35883999999999999</v>
      </c>
      <c r="C24">
        <v>0.24465300000000001</v>
      </c>
      <c r="D24" s="2">
        <v>3.1579999999999998E-4</v>
      </c>
      <c r="E24" s="2">
        <v>4.4889999999999999E-3</v>
      </c>
      <c r="K24" t="str">
        <f t="shared" si="0"/>
        <v>cag</v>
      </c>
      <c r="L24">
        <f t="shared" si="1"/>
        <v>0.35883999999999999</v>
      </c>
    </row>
    <row r="25" spans="1:12">
      <c r="A25" t="s">
        <v>59</v>
      </c>
      <c r="B25">
        <v>0.49445</v>
      </c>
      <c r="C25">
        <v>0.27651100000000001</v>
      </c>
      <c r="D25" s="2">
        <v>3.57E-4</v>
      </c>
      <c r="E25" s="2">
        <v>2.7529999999999998E-3</v>
      </c>
      <c r="K25" t="str">
        <f t="shared" si="0"/>
        <v>cai</v>
      </c>
      <c r="L25">
        <f t="shared" si="1"/>
        <v>0.49445</v>
      </c>
    </row>
    <row r="26" spans="1:12">
      <c r="A26" t="s">
        <v>60</v>
      </c>
      <c r="B26">
        <v>0.32652999999999999</v>
      </c>
      <c r="C26">
        <v>0.23585900000000001</v>
      </c>
      <c r="D26" s="2">
        <v>3.0449999999999997E-4</v>
      </c>
      <c r="E26" s="2">
        <v>3.8730000000000001E-3</v>
      </c>
      <c r="K26" t="str">
        <f t="shared" si="0"/>
        <v>cga</v>
      </c>
      <c r="L26">
        <f t="shared" si="1"/>
        <v>0.32652999999999999</v>
      </c>
    </row>
    <row r="27" spans="1:12">
      <c r="A27" t="s">
        <v>61</v>
      </c>
      <c r="B27">
        <v>0.28571000000000002</v>
      </c>
      <c r="C27">
        <v>0.219889</v>
      </c>
      <c r="D27" s="2">
        <v>2.8390000000000002E-4</v>
      </c>
      <c r="E27" s="2">
        <v>2.2620000000000001E-3</v>
      </c>
      <c r="K27" t="str">
        <f t="shared" si="0"/>
        <v>cgi</v>
      </c>
      <c r="L27">
        <f t="shared" si="1"/>
        <v>0.28571000000000002</v>
      </c>
    </row>
    <row r="28" spans="1:12">
      <c r="A28" t="s">
        <v>62</v>
      </c>
      <c r="B28">
        <v>0.38351000000000002</v>
      </c>
      <c r="C28">
        <v>0.25555600000000001</v>
      </c>
      <c r="D28" s="2">
        <v>3.299E-4</v>
      </c>
      <c r="E28" s="2">
        <v>2.9819999999999998E-3</v>
      </c>
      <c r="K28" t="str">
        <f t="shared" si="0"/>
        <v>cia</v>
      </c>
      <c r="L28">
        <f t="shared" si="1"/>
        <v>0.38351000000000002</v>
      </c>
    </row>
    <row r="29" spans="1:12">
      <c r="A29" t="s">
        <v>63</v>
      </c>
      <c r="B29">
        <v>0.34642000000000001</v>
      </c>
      <c r="C29">
        <v>0.25794</v>
      </c>
      <c r="D29" s="2">
        <v>3.3300000000000002E-4</v>
      </c>
      <c r="E29" s="2">
        <v>2.1940000000000002E-3</v>
      </c>
      <c r="K29" t="str">
        <f t="shared" si="0"/>
        <v>cig</v>
      </c>
      <c r="L29">
        <f t="shared" si="1"/>
        <v>0.34642000000000001</v>
      </c>
    </row>
    <row r="30" spans="1:12">
      <c r="A30" t="s">
        <v>64</v>
      </c>
      <c r="B30">
        <v>1.3559999999999999E-2</v>
      </c>
      <c r="C30">
        <v>5.5880000000000001E-3</v>
      </c>
      <c r="D30" s="2">
        <v>7.2139999999999999E-6</v>
      </c>
      <c r="E30" s="2">
        <v>3.7719999999999998E-5</v>
      </c>
      <c r="K30" t="str">
        <f t="shared" si="0"/>
        <v>sigmaG</v>
      </c>
      <c r="L30">
        <f t="shared" si="1"/>
        <v>1.3559999999999999E-2</v>
      </c>
    </row>
    <row r="31" spans="1:12">
      <c r="A31" t="s">
        <v>65</v>
      </c>
      <c r="B31">
        <v>1.6400000000000001E-2</v>
      </c>
      <c r="C31">
        <v>6.3610000000000003E-3</v>
      </c>
      <c r="D31" s="2">
        <v>8.2120000000000003E-6</v>
      </c>
      <c r="E31" s="2">
        <v>2.671E-5</v>
      </c>
      <c r="K31" t="str">
        <f t="shared" si="0"/>
        <v>sigmaI</v>
      </c>
      <c r="L31">
        <f t="shared" si="1"/>
        <v>1.6400000000000001E-2</v>
      </c>
    </row>
    <row r="33" spans="1:12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>
      <c r="A36" t="s">
        <v>11</v>
      </c>
      <c r="B36">
        <v>6.5297999999999995E-2</v>
      </c>
      <c r="C36">
        <v>0.28475699999999998</v>
      </c>
      <c r="D36">
        <v>0.43636999999999998</v>
      </c>
      <c r="E36">
        <v>0.62429999999999997</v>
      </c>
      <c r="F36">
        <v>0.92878000000000005</v>
      </c>
      <c r="K36" t="str">
        <f t="shared" ref="K36:K49" si="2">CONCATENATE(A36,"_median")</f>
        <v>Tag_median</v>
      </c>
      <c r="L36">
        <f t="shared" ref="L36:L49" si="3">D36</f>
        <v>0.43636999999999998</v>
      </c>
    </row>
    <row r="37" spans="1:12">
      <c r="A37" t="s">
        <v>12</v>
      </c>
      <c r="B37">
        <v>1.9481999999999999E-2</v>
      </c>
      <c r="C37">
        <v>0.16494200000000001</v>
      </c>
      <c r="D37">
        <v>0.32485000000000003</v>
      </c>
      <c r="E37">
        <v>0.52600000000000002</v>
      </c>
      <c r="F37">
        <v>0.87821000000000005</v>
      </c>
      <c r="K37" t="str">
        <f t="shared" si="2"/>
        <v>Tai_median</v>
      </c>
      <c r="L37">
        <f t="shared" si="3"/>
        <v>0.32485000000000003</v>
      </c>
    </row>
    <row r="38" spans="1:12">
      <c r="A38" t="s">
        <v>13</v>
      </c>
      <c r="B38">
        <v>4.3277999999999997E-2</v>
      </c>
      <c r="C38">
        <v>0.35699900000000001</v>
      </c>
      <c r="D38">
        <v>0.59963999999999995</v>
      </c>
      <c r="E38">
        <v>0.79996</v>
      </c>
      <c r="F38">
        <v>0.97938999999999998</v>
      </c>
      <c r="K38" t="str">
        <f t="shared" si="2"/>
        <v>Tga_median</v>
      </c>
      <c r="L38">
        <f t="shared" si="3"/>
        <v>0.59963999999999995</v>
      </c>
    </row>
    <row r="39" spans="1:12">
      <c r="A39" t="s">
        <v>14</v>
      </c>
      <c r="B39">
        <v>0.10370799999999999</v>
      </c>
      <c r="C39">
        <v>0.50409400000000004</v>
      </c>
      <c r="D39">
        <v>0.71435000000000004</v>
      </c>
      <c r="E39">
        <v>0.86584000000000005</v>
      </c>
      <c r="F39">
        <v>0.98658000000000001</v>
      </c>
      <c r="K39" t="str">
        <f t="shared" si="2"/>
        <v>Tgi_median</v>
      </c>
      <c r="L39">
        <f t="shared" si="3"/>
        <v>0.71435000000000004</v>
      </c>
    </row>
    <row r="40" spans="1:12">
      <c r="A40" t="s">
        <v>15</v>
      </c>
      <c r="B40">
        <v>4.1563999999999997E-2</v>
      </c>
      <c r="C40">
        <v>0.267544</v>
      </c>
      <c r="D40">
        <v>0.46698000000000001</v>
      </c>
      <c r="E40">
        <v>0.69369000000000003</v>
      </c>
      <c r="F40">
        <v>0.96248</v>
      </c>
      <c r="K40" t="str">
        <f t="shared" si="2"/>
        <v>Tia_median</v>
      </c>
      <c r="L40">
        <f t="shared" si="3"/>
        <v>0.46698000000000001</v>
      </c>
    </row>
    <row r="41" spans="1:12">
      <c r="A41" t="s">
        <v>16</v>
      </c>
      <c r="B41">
        <v>2.7323E-2</v>
      </c>
      <c r="C41">
        <v>0.22992399999999999</v>
      </c>
      <c r="D41">
        <v>0.41175</v>
      </c>
      <c r="E41">
        <v>0.59677999999999998</v>
      </c>
      <c r="F41">
        <v>0.90230999999999995</v>
      </c>
      <c r="K41" t="str">
        <f t="shared" si="2"/>
        <v>Tig_median</v>
      </c>
      <c r="L41">
        <f t="shared" si="3"/>
        <v>0.41175</v>
      </c>
    </row>
    <row r="42" spans="1:12">
      <c r="A42" t="s">
        <v>58</v>
      </c>
      <c r="B42">
        <v>1.7094999999999999E-2</v>
      </c>
      <c r="C42">
        <v>0.159444</v>
      </c>
      <c r="D42">
        <v>0.31801000000000001</v>
      </c>
      <c r="E42">
        <v>0.51778999999999997</v>
      </c>
      <c r="F42">
        <v>0.91242000000000001</v>
      </c>
      <c r="K42" t="str">
        <f t="shared" si="2"/>
        <v>cag_median</v>
      </c>
      <c r="L42">
        <f t="shared" si="3"/>
        <v>0.31801000000000001</v>
      </c>
    </row>
    <row r="43" spans="1:12">
      <c r="A43" t="s">
        <v>59</v>
      </c>
      <c r="B43">
        <v>2.7900999999999999E-2</v>
      </c>
      <c r="C43">
        <v>0.26383099999999998</v>
      </c>
      <c r="D43">
        <v>0.49314999999999998</v>
      </c>
      <c r="E43">
        <v>0.72346999999999995</v>
      </c>
      <c r="F43">
        <v>0.96840999999999999</v>
      </c>
      <c r="K43" t="str">
        <f t="shared" si="2"/>
        <v>cai_median</v>
      </c>
      <c r="L43">
        <f t="shared" si="3"/>
        <v>0.49314999999999998</v>
      </c>
    </row>
    <row r="44" spans="1:12">
      <c r="A44" t="s">
        <v>60</v>
      </c>
      <c r="B44">
        <v>1.2272999999999999E-2</v>
      </c>
      <c r="C44">
        <v>0.13028400000000001</v>
      </c>
      <c r="D44">
        <v>0.28388000000000002</v>
      </c>
      <c r="E44">
        <v>0.48199999999999998</v>
      </c>
      <c r="F44">
        <v>0.86765000000000003</v>
      </c>
      <c r="K44" t="str">
        <f t="shared" si="2"/>
        <v>cga_median</v>
      </c>
      <c r="L44">
        <f t="shared" si="3"/>
        <v>0.28388000000000002</v>
      </c>
    </row>
    <row r="45" spans="1:12">
      <c r="A45" t="s">
        <v>61</v>
      </c>
      <c r="B45">
        <v>1.0196999999999999E-2</v>
      </c>
      <c r="C45">
        <v>0.107488</v>
      </c>
      <c r="D45">
        <v>0.23721</v>
      </c>
      <c r="E45">
        <v>0.41835</v>
      </c>
      <c r="F45">
        <v>0.81930999999999998</v>
      </c>
      <c r="K45" t="str">
        <f t="shared" si="2"/>
        <v>cgi_median</v>
      </c>
      <c r="L45">
        <f t="shared" si="3"/>
        <v>0.23721</v>
      </c>
    </row>
    <row r="46" spans="1:12">
      <c r="A46" t="s">
        <v>62</v>
      </c>
      <c r="B46">
        <v>1.6775999999999999E-2</v>
      </c>
      <c r="C46">
        <v>0.169154</v>
      </c>
      <c r="D46">
        <v>0.34761999999999998</v>
      </c>
      <c r="E46">
        <v>0.56828000000000001</v>
      </c>
      <c r="F46">
        <v>0.92215999999999998</v>
      </c>
      <c r="K46" t="str">
        <f t="shared" si="2"/>
        <v>cia_median</v>
      </c>
      <c r="L46">
        <f t="shared" si="3"/>
        <v>0.34761999999999998</v>
      </c>
    </row>
    <row r="47" spans="1:12">
      <c r="A47" t="s">
        <v>63</v>
      </c>
      <c r="B47">
        <v>1.268E-2</v>
      </c>
      <c r="C47">
        <v>0.13231999999999999</v>
      </c>
      <c r="D47">
        <v>0.28943000000000002</v>
      </c>
      <c r="E47">
        <v>0.51832</v>
      </c>
      <c r="F47">
        <v>0.92388999999999999</v>
      </c>
      <c r="K47" t="str">
        <f t="shared" si="2"/>
        <v>cig_median</v>
      </c>
      <c r="L47">
        <f t="shared" si="3"/>
        <v>0.28943000000000002</v>
      </c>
    </row>
    <row r="48" spans="1:12">
      <c r="A48" t="s">
        <v>64</v>
      </c>
      <c r="B48">
        <v>6.8589999999999996E-3</v>
      </c>
      <c r="C48">
        <v>9.8239999999999994E-3</v>
      </c>
      <c r="D48">
        <v>1.2290000000000001E-2</v>
      </c>
      <c r="E48">
        <v>1.5800000000000002E-2</v>
      </c>
      <c r="F48">
        <v>2.7699999999999999E-2</v>
      </c>
      <c r="K48" t="str">
        <f t="shared" si="2"/>
        <v>sigmaG_median</v>
      </c>
      <c r="L48">
        <f t="shared" si="3"/>
        <v>1.2290000000000001E-2</v>
      </c>
    </row>
    <row r="49" spans="1:12">
      <c r="A49" t="s">
        <v>65</v>
      </c>
      <c r="B49">
        <v>8.7019999999999997E-3</v>
      </c>
      <c r="C49">
        <v>1.2174000000000001E-2</v>
      </c>
      <c r="D49">
        <v>1.499E-2</v>
      </c>
      <c r="E49">
        <v>1.8960000000000001E-2</v>
      </c>
      <c r="F49">
        <v>3.2410000000000001E-2</v>
      </c>
      <c r="K49" t="str">
        <f t="shared" si="2"/>
        <v>sigmaI_median</v>
      </c>
      <c r="L49">
        <f t="shared" si="3"/>
        <v>1.499E-2</v>
      </c>
    </row>
    <row r="51" spans="1:12">
      <c r="A51" t="s">
        <v>68</v>
      </c>
      <c r="B51" t="s">
        <v>69</v>
      </c>
      <c r="C51" t="s">
        <v>70</v>
      </c>
      <c r="D51" t="s">
        <v>71</v>
      </c>
    </row>
    <row r="53" spans="1:12">
      <c r="B53" t="s">
        <v>72</v>
      </c>
      <c r="C53" t="s">
        <v>73</v>
      </c>
      <c r="D53" t="s">
        <v>74</v>
      </c>
      <c r="E53" t="s">
        <v>75</v>
      </c>
    </row>
    <row r="54" spans="1:12">
      <c r="A54" t="s">
        <v>11</v>
      </c>
      <c r="B54">
        <v>1</v>
      </c>
      <c r="C54">
        <v>1.01</v>
      </c>
      <c r="K54" t="str">
        <f t="shared" ref="K54:K67" si="4">CONCATENATE(A54,"_rhat")</f>
        <v>Tag_rhat</v>
      </c>
      <c r="L54">
        <f t="shared" ref="L54:L67" si="5">B54</f>
        <v>1</v>
      </c>
    </row>
    <row r="55" spans="1:12">
      <c r="A55" t="s">
        <v>12</v>
      </c>
      <c r="B55">
        <v>1.01</v>
      </c>
      <c r="C55">
        <v>1.01</v>
      </c>
      <c r="K55" t="str">
        <f t="shared" si="4"/>
        <v>Tai_rhat</v>
      </c>
      <c r="L55">
        <f t="shared" si="5"/>
        <v>1.01</v>
      </c>
    </row>
    <row r="56" spans="1:12">
      <c r="A56" t="s">
        <v>13</v>
      </c>
      <c r="B56">
        <v>1.01</v>
      </c>
      <c r="C56">
        <v>1.02</v>
      </c>
      <c r="K56" t="str">
        <f t="shared" si="4"/>
        <v>Tga_rhat</v>
      </c>
      <c r="L56">
        <f t="shared" si="5"/>
        <v>1.01</v>
      </c>
    </row>
    <row r="57" spans="1:12">
      <c r="A57" t="s">
        <v>14</v>
      </c>
      <c r="B57">
        <v>1</v>
      </c>
      <c r="C57">
        <v>1</v>
      </c>
      <c r="K57" t="str">
        <f t="shared" si="4"/>
        <v>Tgi_rhat</v>
      </c>
      <c r="L57">
        <f t="shared" si="5"/>
        <v>1</v>
      </c>
    </row>
    <row r="58" spans="1:12">
      <c r="A58" t="s">
        <v>15</v>
      </c>
      <c r="B58">
        <v>1</v>
      </c>
      <c r="C58">
        <v>1.01</v>
      </c>
      <c r="K58" t="str">
        <f t="shared" si="4"/>
        <v>Tia_rhat</v>
      </c>
      <c r="L58">
        <f t="shared" si="5"/>
        <v>1</v>
      </c>
    </row>
    <row r="59" spans="1:12">
      <c r="A59" t="s">
        <v>16</v>
      </c>
      <c r="B59">
        <v>1.01</v>
      </c>
      <c r="C59">
        <v>1.02</v>
      </c>
      <c r="K59" t="str">
        <f t="shared" si="4"/>
        <v>Tig_rhat</v>
      </c>
      <c r="L59">
        <f t="shared" si="5"/>
        <v>1.01</v>
      </c>
    </row>
    <row r="60" spans="1:12">
      <c r="A60" t="s">
        <v>58</v>
      </c>
      <c r="B60">
        <v>1</v>
      </c>
      <c r="C60">
        <v>1</v>
      </c>
      <c r="K60" t="str">
        <f t="shared" si="4"/>
        <v>cag_rhat</v>
      </c>
      <c r="L60">
        <f t="shared" si="5"/>
        <v>1</v>
      </c>
    </row>
    <row r="61" spans="1:12">
      <c r="A61" t="s">
        <v>59</v>
      </c>
      <c r="B61">
        <v>1</v>
      </c>
      <c r="C61">
        <v>1</v>
      </c>
      <c r="K61" t="str">
        <f t="shared" si="4"/>
        <v>cai_rhat</v>
      </c>
      <c r="L61">
        <f t="shared" si="5"/>
        <v>1</v>
      </c>
    </row>
    <row r="62" spans="1:12">
      <c r="A62" t="s">
        <v>60</v>
      </c>
      <c r="B62">
        <v>1</v>
      </c>
      <c r="C62">
        <v>1</v>
      </c>
      <c r="K62" t="str">
        <f t="shared" si="4"/>
        <v>cga_rhat</v>
      </c>
      <c r="L62">
        <f t="shared" si="5"/>
        <v>1</v>
      </c>
    </row>
    <row r="63" spans="1:12">
      <c r="A63" t="s">
        <v>61</v>
      </c>
      <c r="B63">
        <v>1</v>
      </c>
      <c r="C63">
        <v>1</v>
      </c>
      <c r="K63" t="str">
        <f t="shared" si="4"/>
        <v>cgi_rhat</v>
      </c>
      <c r="L63">
        <f t="shared" si="5"/>
        <v>1</v>
      </c>
    </row>
    <row r="64" spans="1:12">
      <c r="A64" t="s">
        <v>62</v>
      </c>
      <c r="B64">
        <v>1</v>
      </c>
      <c r="C64">
        <v>1</v>
      </c>
      <c r="K64" t="str">
        <f t="shared" si="4"/>
        <v>cia_rhat</v>
      </c>
      <c r="L64">
        <f t="shared" si="5"/>
        <v>1</v>
      </c>
    </row>
    <row r="65" spans="1:12">
      <c r="A65" t="s">
        <v>63</v>
      </c>
      <c r="B65">
        <v>1</v>
      </c>
      <c r="C65">
        <v>1</v>
      </c>
      <c r="K65" t="str">
        <f t="shared" si="4"/>
        <v>cig_rhat</v>
      </c>
      <c r="L65">
        <f t="shared" si="5"/>
        <v>1</v>
      </c>
    </row>
    <row r="66" spans="1:12">
      <c r="A66" t="s">
        <v>64</v>
      </c>
      <c r="B66">
        <v>1</v>
      </c>
      <c r="C66">
        <v>1</v>
      </c>
      <c r="K66" t="str">
        <f t="shared" si="4"/>
        <v>sigmaG_rhat</v>
      </c>
      <c r="L66">
        <f t="shared" si="5"/>
        <v>1</v>
      </c>
    </row>
    <row r="67" spans="1:12">
      <c r="A67" t="s">
        <v>65</v>
      </c>
      <c r="B67">
        <v>1</v>
      </c>
      <c r="C67">
        <v>1</v>
      </c>
      <c r="K67" t="str">
        <f t="shared" si="4"/>
        <v>sigmaI_rhat</v>
      </c>
      <c r="L67">
        <f t="shared" si="5"/>
        <v>1</v>
      </c>
    </row>
    <row r="69" spans="1:12">
      <c r="A69" t="s">
        <v>76</v>
      </c>
      <c r="B69" t="s">
        <v>77</v>
      </c>
    </row>
    <row r="71" spans="1:12">
      <c r="A71">
        <v>1.01</v>
      </c>
      <c r="K71" t="s">
        <v>85</v>
      </c>
      <c r="L71">
        <f>A71</f>
        <v>1.01</v>
      </c>
    </row>
    <row r="72" spans="1:12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>
      <c r="B73">
        <v>944.1191</v>
      </c>
      <c r="C73">
        <v>970.92309999999998</v>
      </c>
      <c r="D73">
        <v>1227.2038</v>
      </c>
      <c r="E73">
        <v>1190.511</v>
      </c>
      <c r="F73">
        <v>909.89059999999995</v>
      </c>
      <c r="G73">
        <v>966.47450000000003</v>
      </c>
      <c r="H73">
        <v>3097.1884</v>
      </c>
    </row>
    <row r="74" spans="1:12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>
      <c r="A75">
        <v>10276.4159</v>
      </c>
      <c r="B75">
        <v>3752.6336000000001</v>
      </c>
      <c r="C75">
        <v>9517.2461000000003</v>
      </c>
      <c r="D75">
        <v>7399.4025000000001</v>
      </c>
      <c r="E75">
        <v>14013.7644</v>
      </c>
      <c r="F75">
        <v>22134.398499999999</v>
      </c>
      <c r="G75">
        <v>56928.5363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L75"/>
  <sheetViews>
    <sheetView topLeftCell="A46" workbookViewId="0">
      <selection activeCell="K72" sqref="K72:L86"/>
    </sheetView>
  </sheetViews>
  <sheetFormatPr defaultRowHeight="15"/>
  <cols>
    <col min="1" max="1" width="11.85546875" bestFit="1" customWidth="1"/>
    <col min="2" max="2" width="17" bestFit="1" customWidth="1"/>
    <col min="3" max="3" width="13.7109375" bestFit="1" customWidth="1"/>
    <col min="4" max="4" width="10" bestFit="1" customWidth="1"/>
    <col min="5" max="5" width="11" bestFit="1" customWidth="1"/>
    <col min="6" max="6" width="11.42578125" bestFit="1" customWidth="1"/>
    <col min="7" max="7" width="11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1981</v>
      </c>
      <c r="K4" t="s">
        <v>84</v>
      </c>
      <c r="L4">
        <f>B4</f>
        <v>1981</v>
      </c>
    </row>
    <row r="5" spans="1:12">
      <c r="A5" t="s">
        <v>30</v>
      </c>
      <c r="B5" t="s">
        <v>31</v>
      </c>
      <c r="C5">
        <v>-96.63</v>
      </c>
      <c r="K5" t="s">
        <v>78</v>
      </c>
      <c r="L5">
        <f>C5</f>
        <v>-96.63</v>
      </c>
    </row>
    <row r="6" spans="1:12">
      <c r="A6" t="s">
        <v>32</v>
      </c>
      <c r="B6">
        <v>11.09</v>
      </c>
      <c r="K6" t="s">
        <v>79</v>
      </c>
      <c r="L6">
        <f>B6</f>
        <v>11.09</v>
      </c>
    </row>
    <row r="7" spans="1:12">
      <c r="A7" t="s">
        <v>33</v>
      </c>
      <c r="B7" t="s">
        <v>31</v>
      </c>
      <c r="C7">
        <v>-85.55</v>
      </c>
      <c r="K7" t="s">
        <v>80</v>
      </c>
      <c r="L7">
        <f>C7</f>
        <v>-85.55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0.44402999999999998</v>
      </c>
      <c r="C18">
        <v>0.22017700000000001</v>
      </c>
      <c r="D18" s="2">
        <v>2.8420000000000002E-4</v>
      </c>
      <c r="E18" s="2">
        <v>8.3350000000000004E-3</v>
      </c>
      <c r="K18" t="str">
        <f>A18</f>
        <v>Tag</v>
      </c>
      <c r="L18">
        <f>B18</f>
        <v>0.44402999999999998</v>
      </c>
    </row>
    <row r="19" spans="1:12">
      <c r="A19" t="s">
        <v>12</v>
      </c>
      <c r="B19">
        <v>0.35770999999999997</v>
      </c>
      <c r="C19">
        <v>0.241867</v>
      </c>
      <c r="D19" s="2">
        <v>3.122E-4</v>
      </c>
      <c r="E19" s="2">
        <v>8.1930000000000006E-3</v>
      </c>
      <c r="K19" t="str">
        <f t="shared" ref="K19:L31" si="0">A19</f>
        <v>Tai</v>
      </c>
      <c r="L19">
        <f t="shared" si="0"/>
        <v>0.35770999999999997</v>
      </c>
    </row>
    <row r="20" spans="1:12">
      <c r="A20" t="s">
        <v>13</v>
      </c>
      <c r="B20">
        <v>0.52925999999999995</v>
      </c>
      <c r="C20">
        <v>0.27585100000000001</v>
      </c>
      <c r="D20" s="2">
        <v>3.5609999999999998E-4</v>
      </c>
      <c r="E20" s="2">
        <v>1.0319999999999999E-2</v>
      </c>
      <c r="K20" t="str">
        <f t="shared" si="0"/>
        <v>Tga</v>
      </c>
      <c r="L20">
        <f t="shared" si="0"/>
        <v>0.52925999999999995</v>
      </c>
    </row>
    <row r="21" spans="1:12">
      <c r="A21" t="s">
        <v>14</v>
      </c>
      <c r="B21">
        <v>0.60148000000000001</v>
      </c>
      <c r="C21">
        <v>0.25693100000000002</v>
      </c>
      <c r="D21" s="2">
        <v>3.3169999999999999E-4</v>
      </c>
      <c r="E21" s="2">
        <v>1.022E-2</v>
      </c>
      <c r="K21" t="str">
        <f t="shared" si="0"/>
        <v>Tgi</v>
      </c>
      <c r="L21">
        <f t="shared" si="0"/>
        <v>0.60148000000000001</v>
      </c>
    </row>
    <row r="22" spans="1:12">
      <c r="A22" t="s">
        <v>15</v>
      </c>
      <c r="B22">
        <v>0.46586</v>
      </c>
      <c r="C22">
        <v>0.26569799999999999</v>
      </c>
      <c r="D22" s="2">
        <v>3.4299999999999999E-4</v>
      </c>
      <c r="E22" s="2">
        <v>9.2510000000000005E-3</v>
      </c>
      <c r="K22" t="str">
        <f t="shared" si="0"/>
        <v>Tia</v>
      </c>
      <c r="L22">
        <f t="shared" si="0"/>
        <v>0.46586</v>
      </c>
    </row>
    <row r="23" spans="1:12">
      <c r="A23" t="s">
        <v>16</v>
      </c>
      <c r="B23">
        <v>0.46106999999999998</v>
      </c>
      <c r="C23">
        <v>0.23816300000000001</v>
      </c>
      <c r="D23" s="2">
        <v>3.0749999999999999E-4</v>
      </c>
      <c r="E23" s="2">
        <v>9.2790000000000008E-3</v>
      </c>
      <c r="K23" t="str">
        <f t="shared" si="0"/>
        <v>Tig</v>
      </c>
      <c r="L23">
        <f t="shared" si="0"/>
        <v>0.46106999999999998</v>
      </c>
    </row>
    <row r="24" spans="1:12">
      <c r="A24" t="s">
        <v>58</v>
      </c>
      <c r="B24">
        <v>0.35565999999999998</v>
      </c>
      <c r="C24">
        <v>0.22159100000000001</v>
      </c>
      <c r="D24" s="2">
        <v>2.8610000000000002E-4</v>
      </c>
      <c r="E24" s="2">
        <v>3.4819999999999999E-3</v>
      </c>
      <c r="K24" t="str">
        <f t="shared" si="0"/>
        <v>cag</v>
      </c>
      <c r="L24">
        <f t="shared" si="0"/>
        <v>0.35565999999999998</v>
      </c>
    </row>
    <row r="25" spans="1:12">
      <c r="A25" t="s">
        <v>59</v>
      </c>
      <c r="B25">
        <v>0.50429999999999997</v>
      </c>
      <c r="C25">
        <v>0.27319599999999999</v>
      </c>
      <c r="D25" s="2">
        <v>3.5270000000000001E-4</v>
      </c>
      <c r="E25" s="2">
        <v>2.4819999999999998E-3</v>
      </c>
      <c r="K25" t="str">
        <f t="shared" si="0"/>
        <v>cai</v>
      </c>
      <c r="L25">
        <f t="shared" si="0"/>
        <v>0.50429999999999997</v>
      </c>
    </row>
    <row r="26" spans="1:12">
      <c r="A26" t="s">
        <v>60</v>
      </c>
      <c r="B26">
        <v>0.33130999999999999</v>
      </c>
      <c r="C26">
        <v>0.24496100000000001</v>
      </c>
      <c r="D26" s="2">
        <v>3.1619999999999999E-4</v>
      </c>
      <c r="E26" s="2">
        <v>4.0499999999999998E-3</v>
      </c>
      <c r="K26" t="str">
        <f t="shared" si="0"/>
        <v>cga</v>
      </c>
      <c r="L26">
        <f t="shared" si="0"/>
        <v>0.33130999999999999</v>
      </c>
    </row>
    <row r="27" spans="1:12">
      <c r="A27" t="s">
        <v>61</v>
      </c>
      <c r="B27">
        <v>0.31455</v>
      </c>
      <c r="C27">
        <v>0.23280400000000001</v>
      </c>
      <c r="D27" s="2">
        <v>3.0049999999999999E-4</v>
      </c>
      <c r="E27" s="2">
        <v>1.8500000000000001E-3</v>
      </c>
      <c r="K27" t="str">
        <f t="shared" si="0"/>
        <v>cgi</v>
      </c>
      <c r="L27">
        <f t="shared" si="0"/>
        <v>0.31455</v>
      </c>
    </row>
    <row r="28" spans="1:12">
      <c r="A28" t="s">
        <v>62</v>
      </c>
      <c r="B28">
        <v>0.37454999999999999</v>
      </c>
      <c r="C28">
        <v>0.25125199999999998</v>
      </c>
      <c r="D28" s="2">
        <v>3.2440000000000002E-4</v>
      </c>
      <c r="E28" s="2">
        <v>2.6210000000000001E-3</v>
      </c>
      <c r="K28" t="str">
        <f t="shared" si="0"/>
        <v>cia</v>
      </c>
      <c r="L28">
        <f t="shared" si="0"/>
        <v>0.37454999999999999</v>
      </c>
    </row>
    <row r="29" spans="1:12">
      <c r="A29" t="s">
        <v>63</v>
      </c>
      <c r="B29">
        <v>0.36010999999999999</v>
      </c>
      <c r="C29">
        <v>0.25207299999999999</v>
      </c>
      <c r="D29" s="2">
        <v>3.2539999999999999E-4</v>
      </c>
      <c r="E29" s="2">
        <v>1.6080000000000001E-3</v>
      </c>
      <c r="K29" t="str">
        <f t="shared" si="0"/>
        <v>cig</v>
      </c>
      <c r="L29">
        <f t="shared" si="0"/>
        <v>0.36010999999999999</v>
      </c>
    </row>
    <row r="30" spans="1:12">
      <c r="A30" t="s">
        <v>64</v>
      </c>
      <c r="B30">
        <v>1.1599999999999999E-2</v>
      </c>
      <c r="C30">
        <v>5.0010000000000002E-3</v>
      </c>
      <c r="D30" s="2">
        <v>6.4559999999999997E-6</v>
      </c>
      <c r="E30" s="2">
        <v>2.7140000000000001E-5</v>
      </c>
      <c r="K30" t="str">
        <f t="shared" si="0"/>
        <v>sigmaG</v>
      </c>
      <c r="L30">
        <f t="shared" si="0"/>
        <v>1.1599999999999999E-2</v>
      </c>
    </row>
    <row r="31" spans="1:12">
      <c r="A31" t="s">
        <v>65</v>
      </c>
      <c r="B31">
        <v>1.558E-2</v>
      </c>
      <c r="C31">
        <v>6.1159999999999999E-3</v>
      </c>
      <c r="D31" s="2">
        <v>7.8949999999999998E-6</v>
      </c>
      <c r="E31" s="2">
        <v>2.048E-5</v>
      </c>
      <c r="K31" t="str">
        <f t="shared" si="0"/>
        <v>sigmaI</v>
      </c>
      <c r="L31">
        <f t="shared" si="0"/>
        <v>1.558E-2</v>
      </c>
    </row>
    <row r="33" spans="1:12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>
      <c r="A36" t="s">
        <v>11</v>
      </c>
      <c r="B36">
        <v>9.8537E-2</v>
      </c>
      <c r="C36">
        <v>0.26874399999999998</v>
      </c>
      <c r="D36">
        <v>0.41844999999999999</v>
      </c>
      <c r="E36">
        <v>0.59367000000000003</v>
      </c>
      <c r="F36">
        <v>0.91493999999999998</v>
      </c>
      <c r="K36" t="str">
        <f>CONCATENATE(A36,"_median")</f>
        <v>Tag_median</v>
      </c>
      <c r="L36">
        <f>D36</f>
        <v>0.41844999999999999</v>
      </c>
    </row>
    <row r="37" spans="1:12">
      <c r="A37" t="s">
        <v>12</v>
      </c>
      <c r="B37">
        <v>1.8849999999999999E-2</v>
      </c>
      <c r="C37">
        <v>0.15626000000000001</v>
      </c>
      <c r="D37">
        <v>0.31723000000000001</v>
      </c>
      <c r="E37">
        <v>0.52834000000000003</v>
      </c>
      <c r="F37">
        <v>0.88100999999999996</v>
      </c>
      <c r="K37" t="str">
        <f t="shared" ref="K37:K49" si="1">CONCATENATE(A37,"_median")</f>
        <v>Tai_median</v>
      </c>
      <c r="L37">
        <f t="shared" ref="L37:L49" si="2">D37</f>
        <v>0.31723000000000001</v>
      </c>
    </row>
    <row r="38" spans="1:12">
      <c r="A38" t="s">
        <v>13</v>
      </c>
      <c r="B38">
        <v>3.3083000000000001E-2</v>
      </c>
      <c r="C38">
        <v>0.30401499999999998</v>
      </c>
      <c r="D38">
        <v>0.54398000000000002</v>
      </c>
      <c r="E38">
        <v>0.76193</v>
      </c>
      <c r="F38">
        <v>0.97392999999999996</v>
      </c>
      <c r="K38" t="str">
        <f t="shared" si="1"/>
        <v>Tga_median</v>
      </c>
      <c r="L38">
        <f t="shared" si="2"/>
        <v>0.54398000000000002</v>
      </c>
    </row>
    <row r="39" spans="1:12">
      <c r="A39" t="s">
        <v>14</v>
      </c>
      <c r="B39">
        <v>7.1481000000000003E-2</v>
      </c>
      <c r="C39">
        <v>0.416155</v>
      </c>
      <c r="D39">
        <v>0.63195000000000001</v>
      </c>
      <c r="E39">
        <v>0.81638999999999995</v>
      </c>
      <c r="F39">
        <v>0.98002</v>
      </c>
      <c r="K39" t="str">
        <f t="shared" si="1"/>
        <v>Tgi_median</v>
      </c>
      <c r="L39">
        <f t="shared" si="2"/>
        <v>0.63195000000000001</v>
      </c>
    </row>
    <row r="40" spans="1:12">
      <c r="A40" t="s">
        <v>15</v>
      </c>
      <c r="B40">
        <v>3.4585999999999999E-2</v>
      </c>
      <c r="C40">
        <v>0.245616</v>
      </c>
      <c r="D40">
        <v>0.44762999999999997</v>
      </c>
      <c r="E40">
        <v>0.67815000000000003</v>
      </c>
      <c r="F40">
        <v>0.95640000000000003</v>
      </c>
      <c r="K40" t="str">
        <f t="shared" si="1"/>
        <v>Tia_median</v>
      </c>
      <c r="L40">
        <f t="shared" si="2"/>
        <v>0.44762999999999997</v>
      </c>
    </row>
    <row r="41" spans="1:12">
      <c r="A41" t="s">
        <v>16</v>
      </c>
      <c r="B41">
        <v>3.9253000000000003E-2</v>
      </c>
      <c r="C41">
        <v>0.27788600000000002</v>
      </c>
      <c r="D41">
        <v>0.45380999999999999</v>
      </c>
      <c r="E41">
        <v>0.63841999999999999</v>
      </c>
      <c r="F41">
        <v>0.91981999999999997</v>
      </c>
      <c r="K41" t="str">
        <f t="shared" si="1"/>
        <v>Tig_median</v>
      </c>
      <c r="L41">
        <f t="shared" si="2"/>
        <v>0.45380999999999999</v>
      </c>
    </row>
    <row r="42" spans="1:12">
      <c r="A42" t="s">
        <v>58</v>
      </c>
      <c r="B42">
        <v>1.8776999999999999E-2</v>
      </c>
      <c r="C42">
        <v>0.174681</v>
      </c>
      <c r="D42">
        <v>0.33592</v>
      </c>
      <c r="E42">
        <v>0.51097999999999999</v>
      </c>
      <c r="F42">
        <v>0.82843</v>
      </c>
      <c r="K42" t="str">
        <f t="shared" si="1"/>
        <v>cag_median</v>
      </c>
      <c r="L42">
        <f t="shared" si="2"/>
        <v>0.33592</v>
      </c>
    </row>
    <row r="43" spans="1:12">
      <c r="A43" t="s">
        <v>59</v>
      </c>
      <c r="B43">
        <v>3.1460000000000002E-2</v>
      </c>
      <c r="C43">
        <v>0.27809299999999998</v>
      </c>
      <c r="D43">
        <v>0.51060000000000005</v>
      </c>
      <c r="E43">
        <v>0.73067000000000004</v>
      </c>
      <c r="F43">
        <v>0.96587000000000001</v>
      </c>
      <c r="K43" t="str">
        <f t="shared" si="1"/>
        <v>cai_median</v>
      </c>
      <c r="L43">
        <f t="shared" si="2"/>
        <v>0.51060000000000005</v>
      </c>
    </row>
    <row r="44" spans="1:12">
      <c r="A44" t="s">
        <v>60</v>
      </c>
      <c r="B44">
        <v>1.1676000000000001E-2</v>
      </c>
      <c r="C44">
        <v>0.12572800000000001</v>
      </c>
      <c r="D44">
        <v>0.28220000000000001</v>
      </c>
      <c r="E44">
        <v>0.49664000000000003</v>
      </c>
      <c r="F44">
        <v>0.88521000000000005</v>
      </c>
      <c r="K44" t="str">
        <f t="shared" si="1"/>
        <v>cga_median</v>
      </c>
      <c r="L44">
        <f t="shared" si="2"/>
        <v>0.28220000000000001</v>
      </c>
    </row>
    <row r="45" spans="1:12">
      <c r="A45" t="s">
        <v>61</v>
      </c>
      <c r="B45">
        <v>1.1865000000000001E-2</v>
      </c>
      <c r="C45">
        <v>0.12343899999999999</v>
      </c>
      <c r="D45">
        <v>0.26773999999999998</v>
      </c>
      <c r="E45">
        <v>0.46227000000000001</v>
      </c>
      <c r="F45">
        <v>0.86226999999999998</v>
      </c>
      <c r="K45" t="str">
        <f t="shared" si="1"/>
        <v>cgi_median</v>
      </c>
      <c r="L45">
        <f t="shared" si="2"/>
        <v>0.26773999999999998</v>
      </c>
    </row>
    <row r="46" spans="1:12">
      <c r="A46" t="s">
        <v>62</v>
      </c>
      <c r="B46">
        <v>1.7839000000000001E-2</v>
      </c>
      <c r="C46">
        <v>0.16494400000000001</v>
      </c>
      <c r="D46">
        <v>0.33595000000000003</v>
      </c>
      <c r="E46">
        <v>0.55259999999999998</v>
      </c>
      <c r="F46">
        <v>0.91257999999999995</v>
      </c>
      <c r="K46" t="str">
        <f t="shared" si="1"/>
        <v>cia_median</v>
      </c>
      <c r="L46">
        <f t="shared" si="2"/>
        <v>0.33595000000000003</v>
      </c>
    </row>
    <row r="47" spans="1:12">
      <c r="A47" t="s">
        <v>63</v>
      </c>
      <c r="B47">
        <v>1.4456E-2</v>
      </c>
      <c r="C47">
        <v>0.14976100000000001</v>
      </c>
      <c r="D47">
        <v>0.31714999999999999</v>
      </c>
      <c r="E47">
        <v>0.53254000000000001</v>
      </c>
      <c r="F47">
        <v>0.91627999999999998</v>
      </c>
      <c r="K47" t="str">
        <f t="shared" si="1"/>
        <v>cig_median</v>
      </c>
      <c r="L47">
        <f t="shared" si="2"/>
        <v>0.31714999999999999</v>
      </c>
    </row>
    <row r="48" spans="1:12">
      <c r="A48" t="s">
        <v>64</v>
      </c>
      <c r="B48">
        <v>5.8069999999999997E-3</v>
      </c>
      <c r="C48">
        <v>8.3090000000000004E-3</v>
      </c>
      <c r="D48">
        <v>1.042E-2</v>
      </c>
      <c r="E48">
        <v>1.349E-2</v>
      </c>
      <c r="F48">
        <v>2.426E-2</v>
      </c>
      <c r="K48" t="str">
        <f t="shared" si="1"/>
        <v>sigmaG_median</v>
      </c>
      <c r="L48">
        <f t="shared" si="2"/>
        <v>1.042E-2</v>
      </c>
    </row>
    <row r="49" spans="1:12">
      <c r="A49" t="s">
        <v>65</v>
      </c>
      <c r="B49">
        <v>8.2769999999999996E-3</v>
      </c>
      <c r="C49">
        <v>1.1549E-2</v>
      </c>
      <c r="D49">
        <v>1.4189999999999999E-2</v>
      </c>
      <c r="E49">
        <v>1.7950000000000001E-2</v>
      </c>
      <c r="F49">
        <v>3.1099999999999999E-2</v>
      </c>
      <c r="K49" t="str">
        <f t="shared" si="1"/>
        <v>sigmaI_median</v>
      </c>
      <c r="L49">
        <f t="shared" si="2"/>
        <v>1.4189999999999999E-2</v>
      </c>
    </row>
    <row r="51" spans="1:12">
      <c r="A51" t="s">
        <v>68</v>
      </c>
      <c r="B51" t="s">
        <v>69</v>
      </c>
      <c r="C51" t="s">
        <v>70</v>
      </c>
      <c r="D51" t="s">
        <v>71</v>
      </c>
    </row>
    <row r="53" spans="1:12">
      <c r="B53" t="s">
        <v>72</v>
      </c>
      <c r="C53" t="s">
        <v>73</v>
      </c>
      <c r="D53" t="s">
        <v>74</v>
      </c>
      <c r="E53" t="s">
        <v>75</v>
      </c>
    </row>
    <row r="54" spans="1:12">
      <c r="A54" t="s">
        <v>11</v>
      </c>
      <c r="B54">
        <v>1</v>
      </c>
      <c r="C54">
        <v>1.01</v>
      </c>
      <c r="K54" t="str">
        <f>CONCATENATE(A54,"_rhat")</f>
        <v>Tag_rhat</v>
      </c>
      <c r="L54">
        <f>B54</f>
        <v>1</v>
      </c>
    </row>
    <row r="55" spans="1:12">
      <c r="A55" t="s">
        <v>12</v>
      </c>
      <c r="B55">
        <v>1</v>
      </c>
      <c r="C55">
        <v>1.01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>
      <c r="A56" t="s">
        <v>13</v>
      </c>
      <c r="B56">
        <v>1.01</v>
      </c>
      <c r="C56">
        <v>1.02</v>
      </c>
      <c r="K56" t="str">
        <f t="shared" si="3"/>
        <v>Tga_rhat</v>
      </c>
      <c r="L56">
        <f t="shared" si="4"/>
        <v>1.01</v>
      </c>
    </row>
    <row r="57" spans="1:12">
      <c r="A57" t="s">
        <v>14</v>
      </c>
      <c r="B57">
        <v>1.01</v>
      </c>
      <c r="C57">
        <v>1.02</v>
      </c>
      <c r="K57" t="str">
        <f t="shared" si="3"/>
        <v>Tgi_rhat</v>
      </c>
      <c r="L57">
        <f t="shared" si="4"/>
        <v>1.01</v>
      </c>
    </row>
    <row r="58" spans="1:12">
      <c r="A58" t="s">
        <v>15</v>
      </c>
      <c r="B58">
        <v>1.01</v>
      </c>
      <c r="C58">
        <v>1.03</v>
      </c>
      <c r="K58" t="str">
        <f t="shared" si="3"/>
        <v>Tia_rhat</v>
      </c>
      <c r="L58">
        <f t="shared" si="4"/>
        <v>1.01</v>
      </c>
    </row>
    <row r="59" spans="1:12">
      <c r="A59" t="s">
        <v>16</v>
      </c>
      <c r="B59">
        <v>1.01</v>
      </c>
      <c r="C59">
        <v>1.03</v>
      </c>
      <c r="K59" t="str">
        <f t="shared" si="3"/>
        <v>Tig_rhat</v>
      </c>
      <c r="L59">
        <f t="shared" si="4"/>
        <v>1.01</v>
      </c>
    </row>
    <row r="60" spans="1:12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>
      <c r="A62" t="s">
        <v>60</v>
      </c>
      <c r="B62">
        <v>1</v>
      </c>
      <c r="C62">
        <v>1.01</v>
      </c>
      <c r="K62" t="str">
        <f t="shared" si="3"/>
        <v>cga_rhat</v>
      </c>
      <c r="L62">
        <f t="shared" si="4"/>
        <v>1</v>
      </c>
    </row>
    <row r="63" spans="1:12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>
      <c r="A69" t="s">
        <v>76</v>
      </c>
      <c r="B69" t="s">
        <v>77</v>
      </c>
    </row>
    <row r="71" spans="1:12">
      <c r="A71">
        <v>1.02</v>
      </c>
      <c r="K71" t="s">
        <v>85</v>
      </c>
      <c r="L71">
        <f>A71</f>
        <v>1.02</v>
      </c>
    </row>
    <row r="72" spans="1:12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>
      <c r="B73">
        <v>697.10749999999996</v>
      </c>
      <c r="C73">
        <v>870.74839999999995</v>
      </c>
      <c r="D73">
        <v>710.0444</v>
      </c>
      <c r="E73">
        <v>634.40129999999999</v>
      </c>
      <c r="F73">
        <v>827.61810000000003</v>
      </c>
      <c r="G73">
        <v>655.75040000000001</v>
      </c>
      <c r="H73">
        <v>4104.3532999999998</v>
      </c>
    </row>
    <row r="74" spans="1:12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>
      <c r="A75">
        <v>12209.591200000001</v>
      </c>
      <c r="B75">
        <v>3678.2820000000002</v>
      </c>
      <c r="C75">
        <v>15947.352199999999</v>
      </c>
      <c r="D75">
        <v>9324.8466000000008</v>
      </c>
      <c r="E75">
        <v>24971.5301</v>
      </c>
      <c r="F75">
        <v>34143.0677</v>
      </c>
      <c r="G75">
        <v>89441.1973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L75"/>
  <sheetViews>
    <sheetView topLeftCell="A52" workbookViewId="0">
      <selection activeCell="K72" sqref="K72:L86"/>
    </sheetView>
  </sheetViews>
  <sheetFormatPr defaultRowHeight="15"/>
  <cols>
    <col min="1" max="1" width="11.85546875" bestFit="1" customWidth="1"/>
    <col min="2" max="2" width="17" bestFit="1" customWidth="1"/>
    <col min="3" max="3" width="13.7109375" bestFit="1" customWidth="1"/>
    <col min="4" max="4" width="11" bestFit="1" customWidth="1"/>
    <col min="5" max="5" width="10" bestFit="1" customWidth="1"/>
    <col min="6" max="6" width="11.42578125" bestFit="1" customWidth="1"/>
    <col min="7" max="8" width="11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1982</v>
      </c>
      <c r="K4" t="s">
        <v>84</v>
      </c>
      <c r="L4">
        <f>B4</f>
        <v>1982</v>
      </c>
    </row>
    <row r="5" spans="1:12">
      <c r="A5" t="s">
        <v>30</v>
      </c>
      <c r="B5" t="s">
        <v>31</v>
      </c>
      <c r="C5">
        <v>-87.74</v>
      </c>
      <c r="K5" t="s">
        <v>78</v>
      </c>
      <c r="L5">
        <f>C5</f>
        <v>-87.74</v>
      </c>
    </row>
    <row r="6" spans="1:12">
      <c r="A6" t="s">
        <v>32</v>
      </c>
      <c r="B6">
        <v>11.54</v>
      </c>
      <c r="K6" t="s">
        <v>79</v>
      </c>
      <c r="L6">
        <f>B6</f>
        <v>11.54</v>
      </c>
    </row>
    <row r="7" spans="1:12">
      <c r="A7" t="s">
        <v>33</v>
      </c>
      <c r="B7" t="s">
        <v>31</v>
      </c>
      <c r="C7">
        <v>-76.2</v>
      </c>
      <c r="K7" t="s">
        <v>80</v>
      </c>
      <c r="L7">
        <f>C7</f>
        <v>-76.2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0.44630999999999998</v>
      </c>
      <c r="C18">
        <v>0.245893</v>
      </c>
      <c r="D18" s="2">
        <v>3.1740000000000002E-4</v>
      </c>
      <c r="E18" s="2">
        <v>5.7099999999999998E-3</v>
      </c>
      <c r="K18" t="str">
        <f>A18</f>
        <v>Tag</v>
      </c>
      <c r="L18">
        <f>B18</f>
        <v>0.44630999999999998</v>
      </c>
    </row>
    <row r="19" spans="1:12">
      <c r="A19" t="s">
        <v>12</v>
      </c>
      <c r="B19">
        <v>0.34516999999999998</v>
      </c>
      <c r="C19">
        <v>0.237788</v>
      </c>
      <c r="D19" s="2">
        <v>3.0699999999999998E-4</v>
      </c>
      <c r="E19" s="2">
        <v>8.2730000000000008E-3</v>
      </c>
      <c r="K19" t="str">
        <f t="shared" ref="K19:L31" si="0">A19</f>
        <v>Tai</v>
      </c>
      <c r="L19">
        <f t="shared" si="0"/>
        <v>0.34516999999999998</v>
      </c>
    </row>
    <row r="20" spans="1:12">
      <c r="A20" t="s">
        <v>13</v>
      </c>
      <c r="B20">
        <v>0.48655999999999999</v>
      </c>
      <c r="C20">
        <v>0.27321800000000002</v>
      </c>
      <c r="D20" s="2">
        <v>3.5270000000000001E-4</v>
      </c>
      <c r="E20" s="2">
        <v>5.8989999999999997E-3</v>
      </c>
      <c r="K20" t="str">
        <f t="shared" si="0"/>
        <v>Tga</v>
      </c>
      <c r="L20">
        <f t="shared" si="0"/>
        <v>0.48655999999999999</v>
      </c>
    </row>
    <row r="21" spans="1:12">
      <c r="A21" t="s">
        <v>14</v>
      </c>
      <c r="B21">
        <v>0.74802999999999997</v>
      </c>
      <c r="C21">
        <v>0.187968</v>
      </c>
      <c r="D21" s="2">
        <v>2.4269999999999999E-4</v>
      </c>
      <c r="E21" s="2">
        <v>4.3470000000000002E-3</v>
      </c>
      <c r="K21" t="str">
        <f t="shared" si="0"/>
        <v>Tgi</v>
      </c>
      <c r="L21">
        <f t="shared" si="0"/>
        <v>0.74802999999999997</v>
      </c>
    </row>
    <row r="22" spans="1:12">
      <c r="A22" t="s">
        <v>15</v>
      </c>
      <c r="B22">
        <v>0.48396</v>
      </c>
      <c r="C22">
        <v>0.27341799999999999</v>
      </c>
      <c r="D22" s="2">
        <v>3.5300000000000002E-4</v>
      </c>
      <c r="E22" s="2">
        <v>1.014E-2</v>
      </c>
      <c r="K22" t="str">
        <f t="shared" si="0"/>
        <v>Tia</v>
      </c>
      <c r="L22">
        <f t="shared" si="0"/>
        <v>0.48396</v>
      </c>
    </row>
    <row r="23" spans="1:12">
      <c r="A23" t="s">
        <v>16</v>
      </c>
      <c r="B23">
        <v>0.54149999999999998</v>
      </c>
      <c r="C23">
        <v>0.252552</v>
      </c>
      <c r="D23" s="2">
        <v>3.2600000000000001E-4</v>
      </c>
      <c r="E23" s="2">
        <v>8.2179999999999996E-3</v>
      </c>
      <c r="K23" t="str">
        <f t="shared" si="0"/>
        <v>Tig</v>
      </c>
      <c r="L23">
        <f t="shared" si="0"/>
        <v>0.54149999999999998</v>
      </c>
    </row>
    <row r="24" spans="1:12">
      <c r="A24" t="s">
        <v>58</v>
      </c>
      <c r="B24">
        <v>0.40795999999999999</v>
      </c>
      <c r="C24">
        <v>0.248636</v>
      </c>
      <c r="D24" s="2">
        <v>3.21E-4</v>
      </c>
      <c r="E24" s="2">
        <v>2.3029999999999999E-3</v>
      </c>
      <c r="K24" t="str">
        <f t="shared" si="0"/>
        <v>cag</v>
      </c>
      <c r="L24">
        <f t="shared" si="0"/>
        <v>0.40795999999999999</v>
      </c>
    </row>
    <row r="25" spans="1:12">
      <c r="A25" t="s">
        <v>59</v>
      </c>
      <c r="B25">
        <v>0.51017000000000001</v>
      </c>
      <c r="C25">
        <v>0.27222600000000002</v>
      </c>
      <c r="D25" s="2">
        <v>3.5139999999999998E-4</v>
      </c>
      <c r="E25" s="2">
        <v>2.9120000000000001E-3</v>
      </c>
      <c r="K25" t="str">
        <f t="shared" si="0"/>
        <v>cai</v>
      </c>
      <c r="L25">
        <f t="shared" si="0"/>
        <v>0.51017000000000001</v>
      </c>
    </row>
    <row r="26" spans="1:12">
      <c r="A26" t="s">
        <v>60</v>
      </c>
      <c r="B26">
        <v>0.36053000000000002</v>
      </c>
      <c r="C26">
        <v>0.25168499999999999</v>
      </c>
      <c r="D26" s="2">
        <v>3.2489999999999998E-4</v>
      </c>
      <c r="E26" s="2">
        <v>2.5119999999999999E-3</v>
      </c>
      <c r="K26" t="str">
        <f t="shared" si="0"/>
        <v>cga</v>
      </c>
      <c r="L26">
        <f t="shared" si="0"/>
        <v>0.36053000000000002</v>
      </c>
    </row>
    <row r="27" spans="1:12">
      <c r="A27" t="s">
        <v>61</v>
      </c>
      <c r="B27">
        <v>0.20268</v>
      </c>
      <c r="C27">
        <v>0.16824</v>
      </c>
      <c r="D27" s="2">
        <v>2.1719999999999999E-4</v>
      </c>
      <c r="E27" s="2">
        <v>8.0449999999999999E-4</v>
      </c>
      <c r="K27" t="str">
        <f t="shared" si="0"/>
        <v>cgi</v>
      </c>
      <c r="L27">
        <f t="shared" si="0"/>
        <v>0.20268</v>
      </c>
    </row>
    <row r="28" spans="1:12">
      <c r="A28" t="s">
        <v>62</v>
      </c>
      <c r="B28">
        <v>0.35328999999999999</v>
      </c>
      <c r="C28">
        <v>0.25339200000000001</v>
      </c>
      <c r="D28" s="2">
        <v>3.2709999999999998E-4</v>
      </c>
      <c r="E28" s="2">
        <v>3.31E-3</v>
      </c>
      <c r="K28" t="str">
        <f t="shared" si="0"/>
        <v>cia</v>
      </c>
      <c r="L28">
        <f t="shared" si="0"/>
        <v>0.35328999999999999</v>
      </c>
    </row>
    <row r="29" spans="1:12">
      <c r="A29" t="s">
        <v>63</v>
      </c>
      <c r="B29">
        <v>0.25847999999999999</v>
      </c>
      <c r="C29">
        <v>0.224798</v>
      </c>
      <c r="D29" s="2">
        <v>2.9020000000000001E-4</v>
      </c>
      <c r="E29" s="2">
        <v>1.6980000000000001E-3</v>
      </c>
      <c r="K29" t="str">
        <f t="shared" si="0"/>
        <v>cig</v>
      </c>
      <c r="L29">
        <f t="shared" si="0"/>
        <v>0.25847999999999999</v>
      </c>
    </row>
    <row r="30" spans="1:12">
      <c r="A30" t="s">
        <v>64</v>
      </c>
      <c r="B30">
        <v>2.3230000000000001E-2</v>
      </c>
      <c r="C30">
        <v>9.3150000000000004E-3</v>
      </c>
      <c r="D30" s="2">
        <v>1.203E-5</v>
      </c>
      <c r="E30" s="2">
        <v>3.2369999999999997E-5</v>
      </c>
      <c r="K30" t="str">
        <f t="shared" si="0"/>
        <v>sigmaG</v>
      </c>
      <c r="L30">
        <f t="shared" si="0"/>
        <v>2.3230000000000001E-2</v>
      </c>
    </row>
    <row r="31" spans="1:12">
      <c r="A31" t="s">
        <v>65</v>
      </c>
      <c r="B31">
        <v>1.384E-2</v>
      </c>
      <c r="C31">
        <v>6.1970000000000003E-3</v>
      </c>
      <c r="D31" s="2">
        <v>7.9999999999999996E-6</v>
      </c>
      <c r="E31" s="2">
        <v>3.6319999999999998E-5</v>
      </c>
      <c r="K31" t="str">
        <f t="shared" si="0"/>
        <v>sigmaI</v>
      </c>
      <c r="L31">
        <f t="shared" si="0"/>
        <v>1.384E-2</v>
      </c>
    </row>
    <row r="33" spans="1:12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>
      <c r="A36" t="s">
        <v>11</v>
      </c>
      <c r="B36">
        <v>4.6738000000000002E-2</v>
      </c>
      <c r="C36">
        <v>0.24662800000000001</v>
      </c>
      <c r="D36">
        <v>0.42468</v>
      </c>
      <c r="E36">
        <v>0.63102999999999998</v>
      </c>
      <c r="F36">
        <v>0.93571000000000004</v>
      </c>
      <c r="K36" t="str">
        <f>CONCATENATE(A36,"_median")</f>
        <v>Tag_median</v>
      </c>
      <c r="L36">
        <f>D36</f>
        <v>0.42468</v>
      </c>
    </row>
    <row r="37" spans="1:12">
      <c r="A37" t="s">
        <v>12</v>
      </c>
      <c r="B37">
        <v>1.8959E-2</v>
      </c>
      <c r="C37">
        <v>0.14790200000000001</v>
      </c>
      <c r="D37">
        <v>0.30237999999999998</v>
      </c>
      <c r="E37">
        <v>0.50658999999999998</v>
      </c>
      <c r="F37">
        <v>0.88460000000000005</v>
      </c>
      <c r="K37" t="str">
        <f t="shared" ref="K37:K49" si="1">CONCATENATE(A37,"_median")</f>
        <v>Tai_median</v>
      </c>
      <c r="L37">
        <f t="shared" ref="L37:L49" si="2">D37</f>
        <v>0.30237999999999998</v>
      </c>
    </row>
    <row r="38" spans="1:12">
      <c r="A38" t="s">
        <v>13</v>
      </c>
      <c r="B38">
        <v>2.8826000000000001E-2</v>
      </c>
      <c r="C38">
        <v>0.25779600000000003</v>
      </c>
      <c r="D38">
        <v>0.48282000000000003</v>
      </c>
      <c r="E38">
        <v>0.71289999999999998</v>
      </c>
      <c r="F38">
        <v>0.96352000000000004</v>
      </c>
      <c r="K38" t="str">
        <f t="shared" si="1"/>
        <v>Tga_median</v>
      </c>
      <c r="L38">
        <f t="shared" si="2"/>
        <v>0.48282000000000003</v>
      </c>
    </row>
    <row r="39" spans="1:12">
      <c r="A39" t="s">
        <v>14</v>
      </c>
      <c r="B39">
        <v>0.27825899999999998</v>
      </c>
      <c r="C39">
        <v>0.64361599999999997</v>
      </c>
      <c r="D39">
        <v>0.78447999999999996</v>
      </c>
      <c r="E39">
        <v>0.89481999999999995</v>
      </c>
      <c r="F39">
        <v>0.98936000000000002</v>
      </c>
      <c r="K39" t="str">
        <f t="shared" si="1"/>
        <v>Tgi_median</v>
      </c>
      <c r="L39">
        <f t="shared" si="2"/>
        <v>0.78447999999999996</v>
      </c>
    </row>
    <row r="40" spans="1:12">
      <c r="A40" t="s">
        <v>15</v>
      </c>
      <c r="B40">
        <v>3.1684999999999998E-2</v>
      </c>
      <c r="C40">
        <v>0.25353900000000001</v>
      </c>
      <c r="D40">
        <v>0.47865000000000002</v>
      </c>
      <c r="E40">
        <v>0.70806999999999998</v>
      </c>
      <c r="F40">
        <v>0.9667</v>
      </c>
      <c r="K40" t="str">
        <f t="shared" si="1"/>
        <v>Tia_median</v>
      </c>
      <c r="L40">
        <f t="shared" si="2"/>
        <v>0.47865000000000002</v>
      </c>
    </row>
    <row r="41" spans="1:12">
      <c r="A41" t="s">
        <v>16</v>
      </c>
      <c r="B41">
        <v>5.0667999999999998E-2</v>
      </c>
      <c r="C41">
        <v>0.35286400000000001</v>
      </c>
      <c r="D41">
        <v>0.55672999999999995</v>
      </c>
      <c r="E41">
        <v>0.74450000000000005</v>
      </c>
      <c r="F41">
        <v>0.95999000000000001</v>
      </c>
      <c r="K41" t="str">
        <f t="shared" si="1"/>
        <v>Tig_median</v>
      </c>
      <c r="L41">
        <f t="shared" si="2"/>
        <v>0.55672999999999995</v>
      </c>
    </row>
    <row r="42" spans="1:12">
      <c r="A42" t="s">
        <v>58</v>
      </c>
      <c r="B42">
        <v>2.2575999999999999E-2</v>
      </c>
      <c r="C42">
        <v>0.20443800000000001</v>
      </c>
      <c r="D42">
        <v>0.38653999999999999</v>
      </c>
      <c r="E42">
        <v>0.58657000000000004</v>
      </c>
      <c r="F42">
        <v>0.92352000000000001</v>
      </c>
      <c r="K42" t="str">
        <f t="shared" si="1"/>
        <v>cag_median</v>
      </c>
      <c r="L42">
        <f t="shared" si="2"/>
        <v>0.38653999999999999</v>
      </c>
    </row>
    <row r="43" spans="1:12">
      <c r="A43" t="s">
        <v>59</v>
      </c>
      <c r="B43">
        <v>3.3527000000000001E-2</v>
      </c>
      <c r="C43">
        <v>0.28631299999999998</v>
      </c>
      <c r="D43">
        <v>0.51839000000000002</v>
      </c>
      <c r="E43">
        <v>0.73656999999999995</v>
      </c>
      <c r="F43">
        <v>0.96638999999999997</v>
      </c>
      <c r="K43" t="str">
        <f t="shared" si="1"/>
        <v>cai_median</v>
      </c>
      <c r="L43">
        <f t="shared" si="2"/>
        <v>0.51839000000000002</v>
      </c>
    </row>
    <row r="44" spans="1:12">
      <c r="A44" t="s">
        <v>60</v>
      </c>
      <c r="B44">
        <v>1.3859E-2</v>
      </c>
      <c r="C44">
        <v>0.14736299999999999</v>
      </c>
      <c r="D44">
        <v>0.31913000000000002</v>
      </c>
      <c r="E44">
        <v>0.54018999999999995</v>
      </c>
      <c r="F44">
        <v>0.90193000000000001</v>
      </c>
      <c r="K44" t="str">
        <f t="shared" si="1"/>
        <v>cga_median</v>
      </c>
      <c r="L44">
        <f t="shared" si="2"/>
        <v>0.31913000000000002</v>
      </c>
    </row>
    <row r="45" spans="1:12">
      <c r="A45" t="s">
        <v>61</v>
      </c>
      <c r="B45">
        <v>6.7539999999999996E-3</v>
      </c>
      <c r="C45">
        <v>7.2694999999999996E-2</v>
      </c>
      <c r="D45">
        <v>0.16170999999999999</v>
      </c>
      <c r="E45">
        <v>0.28964000000000001</v>
      </c>
      <c r="F45">
        <v>0.63210999999999995</v>
      </c>
      <c r="K45" t="str">
        <f t="shared" si="1"/>
        <v>cgi_median</v>
      </c>
      <c r="L45">
        <f t="shared" si="2"/>
        <v>0.16170999999999999</v>
      </c>
    </row>
    <row r="46" spans="1:12">
      <c r="A46" t="s">
        <v>62</v>
      </c>
      <c r="B46">
        <v>1.4137E-2</v>
      </c>
      <c r="C46">
        <v>0.140628</v>
      </c>
      <c r="D46">
        <v>0.30406</v>
      </c>
      <c r="E46">
        <v>0.53039000000000003</v>
      </c>
      <c r="F46">
        <v>0.91085000000000005</v>
      </c>
      <c r="K46" t="str">
        <f t="shared" si="1"/>
        <v>cia_median</v>
      </c>
      <c r="L46">
        <f t="shared" si="2"/>
        <v>0.30406</v>
      </c>
    </row>
    <row r="47" spans="1:12">
      <c r="A47" t="s">
        <v>63</v>
      </c>
      <c r="B47">
        <v>7.7380000000000001E-3</v>
      </c>
      <c r="C47">
        <v>8.4515999999999994E-2</v>
      </c>
      <c r="D47">
        <v>0.19370999999999999</v>
      </c>
      <c r="E47">
        <v>0.36909999999999998</v>
      </c>
      <c r="F47">
        <v>0.85538000000000003</v>
      </c>
      <c r="K47" t="str">
        <f t="shared" si="1"/>
        <v>cig_median</v>
      </c>
      <c r="L47">
        <f t="shared" si="2"/>
        <v>0.19370999999999999</v>
      </c>
    </row>
    <row r="48" spans="1:12">
      <c r="A48" t="s">
        <v>64</v>
      </c>
      <c r="B48">
        <v>1.2137999999999999E-2</v>
      </c>
      <c r="C48">
        <v>1.7063999999999999E-2</v>
      </c>
      <c r="D48">
        <v>2.112E-2</v>
      </c>
      <c r="E48">
        <v>2.69E-2</v>
      </c>
      <c r="F48">
        <v>4.6690000000000002E-2</v>
      </c>
      <c r="K48" t="str">
        <f t="shared" si="1"/>
        <v>sigmaG_median</v>
      </c>
      <c r="L48">
        <f t="shared" si="2"/>
        <v>2.112E-2</v>
      </c>
    </row>
    <row r="49" spans="1:12">
      <c r="A49" t="s">
        <v>65</v>
      </c>
      <c r="B49">
        <v>6.7850000000000002E-3</v>
      </c>
      <c r="C49">
        <v>9.7579999999999993E-3</v>
      </c>
      <c r="D49">
        <v>1.2330000000000001E-2</v>
      </c>
      <c r="E49">
        <v>1.6150000000000001E-2</v>
      </c>
      <c r="F49">
        <v>2.9680000000000002E-2</v>
      </c>
      <c r="K49" t="str">
        <f t="shared" si="1"/>
        <v>sigmaI_median</v>
      </c>
      <c r="L49">
        <f t="shared" si="2"/>
        <v>1.2330000000000001E-2</v>
      </c>
    </row>
    <row r="51" spans="1:12">
      <c r="A51" t="s">
        <v>68</v>
      </c>
      <c r="B51" t="s">
        <v>69</v>
      </c>
      <c r="C51" t="s">
        <v>70</v>
      </c>
      <c r="D51" t="s">
        <v>71</v>
      </c>
    </row>
    <row r="53" spans="1:12">
      <c r="B53" t="s">
        <v>72</v>
      </c>
      <c r="C53" t="s">
        <v>73</v>
      </c>
      <c r="D53" t="s">
        <v>74</v>
      </c>
      <c r="E53" t="s">
        <v>75</v>
      </c>
    </row>
    <row r="54" spans="1:12">
      <c r="A54" t="s">
        <v>11</v>
      </c>
      <c r="B54">
        <v>1.01</v>
      </c>
      <c r="C54">
        <v>1.02</v>
      </c>
      <c r="K54" t="str">
        <f>CONCATENATE(A54,"_rhat")</f>
        <v>Tag_rhat</v>
      </c>
      <c r="L54">
        <f>B54</f>
        <v>1.01</v>
      </c>
    </row>
    <row r="55" spans="1:12">
      <c r="A55" t="s">
        <v>12</v>
      </c>
      <c r="B55">
        <v>1.01</v>
      </c>
      <c r="C55">
        <v>1.02</v>
      </c>
      <c r="K55" t="str">
        <f t="shared" ref="K55:K67" si="3">CONCATENATE(A55,"_rhat")</f>
        <v>Tai_rhat</v>
      </c>
      <c r="L55">
        <f t="shared" ref="L55:L67" si="4">B55</f>
        <v>1.01</v>
      </c>
    </row>
    <row r="56" spans="1:12">
      <c r="A56" t="s">
        <v>13</v>
      </c>
      <c r="B56">
        <v>1.01</v>
      </c>
      <c r="C56">
        <v>1.02</v>
      </c>
      <c r="K56" t="str">
        <f t="shared" si="3"/>
        <v>Tga_rhat</v>
      </c>
      <c r="L56">
        <f t="shared" si="4"/>
        <v>1.01</v>
      </c>
    </row>
    <row r="57" spans="1:12">
      <c r="A57" t="s">
        <v>14</v>
      </c>
      <c r="B57">
        <v>1</v>
      </c>
      <c r="C57">
        <v>1</v>
      </c>
      <c r="K57" t="str">
        <f t="shared" si="3"/>
        <v>Tgi_rhat</v>
      </c>
      <c r="L57">
        <f t="shared" si="4"/>
        <v>1</v>
      </c>
    </row>
    <row r="58" spans="1:12">
      <c r="A58" t="s">
        <v>15</v>
      </c>
      <c r="B58">
        <v>1.01</v>
      </c>
      <c r="C58">
        <v>1.02</v>
      </c>
      <c r="K58" t="str">
        <f t="shared" si="3"/>
        <v>Tia_rhat</v>
      </c>
      <c r="L58">
        <f t="shared" si="4"/>
        <v>1.01</v>
      </c>
    </row>
    <row r="59" spans="1:12">
      <c r="A59" t="s">
        <v>16</v>
      </c>
      <c r="B59">
        <v>1</v>
      </c>
      <c r="C59">
        <v>1</v>
      </c>
      <c r="K59" t="str">
        <f t="shared" si="3"/>
        <v>Tig_rhat</v>
      </c>
      <c r="L59">
        <f t="shared" si="4"/>
        <v>1</v>
      </c>
    </row>
    <row r="60" spans="1:12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>
      <c r="A62" t="s">
        <v>60</v>
      </c>
      <c r="B62">
        <v>1</v>
      </c>
      <c r="C62">
        <v>1</v>
      </c>
      <c r="K62" t="str">
        <f t="shared" si="3"/>
        <v>cga_rhat</v>
      </c>
      <c r="L62">
        <f t="shared" si="4"/>
        <v>1</v>
      </c>
    </row>
    <row r="63" spans="1:12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>
      <c r="A64" t="s">
        <v>62</v>
      </c>
      <c r="B64">
        <v>1</v>
      </c>
      <c r="C64">
        <v>1.01</v>
      </c>
      <c r="K64" t="str">
        <f t="shared" si="3"/>
        <v>cia_rhat</v>
      </c>
      <c r="L64">
        <f t="shared" si="4"/>
        <v>1</v>
      </c>
    </row>
    <row r="65" spans="1:12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>
      <c r="A69" t="s">
        <v>76</v>
      </c>
      <c r="B69" t="s">
        <v>77</v>
      </c>
    </row>
    <row r="71" spans="1:12">
      <c r="A71">
        <v>1.01</v>
      </c>
      <c r="K71" t="s">
        <v>85</v>
      </c>
      <c r="L71">
        <f>A71</f>
        <v>1.01</v>
      </c>
    </row>
    <row r="72" spans="1:12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>
      <c r="B73">
        <v>1874.8298</v>
      </c>
      <c r="C73">
        <v>829.04819999999995</v>
      </c>
      <c r="D73">
        <v>2145.4812000000002</v>
      </c>
      <c r="E73">
        <v>1874.6822</v>
      </c>
      <c r="F73">
        <v>725.46690000000001</v>
      </c>
      <c r="G73">
        <v>951.23209999999995</v>
      </c>
      <c r="H73">
        <v>12008.7032</v>
      </c>
    </row>
    <row r="74" spans="1:12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>
      <c r="B75">
        <v>8979.2842000000001</v>
      </c>
      <c r="C75">
        <v>10158.6152</v>
      </c>
      <c r="D75">
        <v>44809.375099999997</v>
      </c>
      <c r="E75">
        <v>5880.9022000000004</v>
      </c>
      <c r="F75">
        <v>17587.6587</v>
      </c>
      <c r="G75">
        <v>83012.332200000004</v>
      </c>
      <c r="H75">
        <v>29595.387900000002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L77"/>
  <sheetViews>
    <sheetView topLeftCell="A67" workbookViewId="0">
      <selection activeCell="K72" sqref="K72:M85"/>
    </sheetView>
  </sheetViews>
  <sheetFormatPr defaultRowHeight="15"/>
  <cols>
    <col min="1" max="1" width="11.85546875" bestFit="1" customWidth="1"/>
    <col min="2" max="2" width="17" bestFit="1" customWidth="1"/>
    <col min="3" max="3" width="13.7109375" bestFit="1" customWidth="1"/>
    <col min="4" max="5" width="10" bestFit="1" customWidth="1"/>
    <col min="6" max="6" width="11.42578125" bestFit="1" customWidth="1"/>
    <col min="7" max="7" width="11" bestFit="1" customWidth="1"/>
    <col min="8" max="8" width="5.140625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1983</v>
      </c>
      <c r="K4" t="s">
        <v>84</v>
      </c>
      <c r="L4">
        <f>B4</f>
        <v>1983</v>
      </c>
    </row>
    <row r="5" spans="1:12">
      <c r="A5" t="s">
        <v>30</v>
      </c>
      <c r="B5" t="s">
        <v>31</v>
      </c>
      <c r="C5">
        <v>-101.1</v>
      </c>
      <c r="K5" t="s">
        <v>78</v>
      </c>
      <c r="L5">
        <f>C5</f>
        <v>-101.1</v>
      </c>
    </row>
    <row r="6" spans="1:12">
      <c r="A6" t="s">
        <v>32</v>
      </c>
      <c r="B6">
        <v>13.63</v>
      </c>
      <c r="K6" t="s">
        <v>79</v>
      </c>
      <c r="L6">
        <f>B6</f>
        <v>13.63</v>
      </c>
    </row>
    <row r="7" spans="1:12">
      <c r="A7" t="s">
        <v>33</v>
      </c>
      <c r="B7" t="s">
        <v>31</v>
      </c>
      <c r="C7">
        <v>-87.49</v>
      </c>
      <c r="K7" t="s">
        <v>80</v>
      </c>
      <c r="L7">
        <f>C7</f>
        <v>-87.49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0.43345400000000001</v>
      </c>
      <c r="C18">
        <v>0.24820700000000001</v>
      </c>
      <c r="D18" s="2">
        <v>3.2039999999999998E-4</v>
      </c>
      <c r="E18" s="2">
        <v>1.813E-2</v>
      </c>
      <c r="K18" t="str">
        <f>A18</f>
        <v>Tag</v>
      </c>
      <c r="L18">
        <f>B18</f>
        <v>0.43345400000000001</v>
      </c>
    </row>
    <row r="19" spans="1:12">
      <c r="A19" t="s">
        <v>12</v>
      </c>
      <c r="B19">
        <v>0.35747699999999999</v>
      </c>
      <c r="C19">
        <v>0.21962200000000001</v>
      </c>
      <c r="D19" s="2">
        <v>2.8350000000000001E-4</v>
      </c>
      <c r="E19" s="2">
        <v>5.0870000000000004E-3</v>
      </c>
      <c r="K19" t="str">
        <f t="shared" ref="K19:L31" si="0">A19</f>
        <v>Tai</v>
      </c>
      <c r="L19">
        <f t="shared" si="0"/>
        <v>0.35747699999999999</v>
      </c>
    </row>
    <row r="20" spans="1:12">
      <c r="A20" t="s">
        <v>13</v>
      </c>
      <c r="B20">
        <v>0.419433</v>
      </c>
      <c r="C20">
        <v>0.26815699999999998</v>
      </c>
      <c r="D20" s="2">
        <v>3.4620000000000001E-4</v>
      </c>
      <c r="E20" s="2">
        <v>1.8149999999999999E-2</v>
      </c>
      <c r="K20" t="str">
        <f t="shared" si="0"/>
        <v>Tga</v>
      </c>
      <c r="L20">
        <f t="shared" si="0"/>
        <v>0.419433</v>
      </c>
    </row>
    <row r="21" spans="1:12">
      <c r="A21" t="s">
        <v>14</v>
      </c>
      <c r="B21">
        <v>0.637799</v>
      </c>
      <c r="C21">
        <v>0.21084900000000001</v>
      </c>
      <c r="D21" s="2">
        <v>2.722E-4</v>
      </c>
      <c r="E21" s="2">
        <v>1.043E-2</v>
      </c>
      <c r="K21" t="str">
        <f t="shared" si="0"/>
        <v>Tgi</v>
      </c>
      <c r="L21">
        <f t="shared" si="0"/>
        <v>0.637799</v>
      </c>
    </row>
    <row r="22" spans="1:12">
      <c r="A22" t="s">
        <v>15</v>
      </c>
      <c r="B22">
        <v>0.56616599999999995</v>
      </c>
      <c r="C22">
        <v>0.26003300000000001</v>
      </c>
      <c r="D22" s="2">
        <v>3.3569999999999997E-4</v>
      </c>
      <c r="E22" s="2">
        <v>6.6490000000000004E-3</v>
      </c>
      <c r="K22" t="str">
        <f t="shared" si="0"/>
        <v>Tia</v>
      </c>
      <c r="L22">
        <f t="shared" si="0"/>
        <v>0.56616599999999995</v>
      </c>
    </row>
    <row r="23" spans="1:12">
      <c r="A23" t="s">
        <v>16</v>
      </c>
      <c r="B23">
        <v>0.405891</v>
      </c>
      <c r="C23">
        <v>0.21525900000000001</v>
      </c>
      <c r="D23" s="2">
        <v>2.7789999999999998E-4</v>
      </c>
      <c r="E23" s="2">
        <v>1.082E-2</v>
      </c>
      <c r="K23" t="str">
        <f t="shared" si="0"/>
        <v>Tig</v>
      </c>
      <c r="L23">
        <f t="shared" si="0"/>
        <v>0.405891</v>
      </c>
    </row>
    <row r="24" spans="1:12">
      <c r="A24" t="s">
        <v>58</v>
      </c>
      <c r="B24">
        <v>0.37654500000000002</v>
      </c>
      <c r="C24">
        <v>0.214388</v>
      </c>
      <c r="D24" s="2">
        <v>2.7680000000000001E-4</v>
      </c>
      <c r="E24" s="2">
        <v>5.6569999999999997E-3</v>
      </c>
      <c r="K24" t="str">
        <f t="shared" si="0"/>
        <v>cag</v>
      </c>
      <c r="L24">
        <f t="shared" si="0"/>
        <v>0.37654500000000002</v>
      </c>
    </row>
    <row r="25" spans="1:12">
      <c r="A25" t="s">
        <v>59</v>
      </c>
      <c r="B25">
        <v>0.45502399999999998</v>
      </c>
      <c r="C25">
        <v>0.27065099999999997</v>
      </c>
      <c r="D25" s="2">
        <v>3.4939999999999998E-4</v>
      </c>
      <c r="E25" s="2">
        <v>1.9810000000000001E-3</v>
      </c>
      <c r="K25" t="str">
        <f t="shared" si="0"/>
        <v>cai</v>
      </c>
      <c r="L25">
        <f t="shared" si="0"/>
        <v>0.45502399999999998</v>
      </c>
    </row>
    <row r="26" spans="1:12">
      <c r="A26" t="s">
        <v>60</v>
      </c>
      <c r="B26">
        <v>0.39435799999999999</v>
      </c>
      <c r="C26">
        <v>0.25037300000000001</v>
      </c>
      <c r="D26" s="2">
        <v>3.232E-4</v>
      </c>
      <c r="E26" s="2">
        <v>5.8320000000000004E-3</v>
      </c>
      <c r="K26" t="str">
        <f t="shared" si="0"/>
        <v>cga</v>
      </c>
      <c r="L26">
        <f t="shared" si="0"/>
        <v>0.39435799999999999</v>
      </c>
    </row>
    <row r="27" spans="1:12">
      <c r="A27" t="s">
        <v>61</v>
      </c>
      <c r="B27">
        <v>0.29030699999999998</v>
      </c>
      <c r="C27">
        <v>0.192076</v>
      </c>
      <c r="D27" s="2">
        <v>2.4800000000000001E-4</v>
      </c>
      <c r="E27" s="2">
        <v>2.6580000000000002E-3</v>
      </c>
      <c r="K27" t="str">
        <f t="shared" si="0"/>
        <v>cgi</v>
      </c>
      <c r="L27">
        <f t="shared" si="0"/>
        <v>0.29030699999999998</v>
      </c>
    </row>
    <row r="28" spans="1:12">
      <c r="A28" t="s">
        <v>62</v>
      </c>
      <c r="B28">
        <v>0.32336100000000001</v>
      </c>
      <c r="C28">
        <v>0.239847</v>
      </c>
      <c r="D28" s="2">
        <v>3.0959999999999999E-4</v>
      </c>
      <c r="E28" s="2">
        <v>2.2829999999999999E-3</v>
      </c>
      <c r="K28" t="str">
        <f t="shared" si="0"/>
        <v>cia</v>
      </c>
      <c r="L28">
        <f t="shared" si="0"/>
        <v>0.32336100000000001</v>
      </c>
    </row>
    <row r="29" spans="1:12">
      <c r="A29" t="s">
        <v>63</v>
      </c>
      <c r="B29">
        <v>0.37124299999999999</v>
      </c>
      <c r="C29">
        <v>0.25645299999999999</v>
      </c>
      <c r="D29" s="2">
        <v>3.3110000000000002E-4</v>
      </c>
      <c r="E29" s="2">
        <v>2.5490000000000001E-3</v>
      </c>
      <c r="K29" t="str">
        <f t="shared" si="0"/>
        <v>cig</v>
      </c>
      <c r="L29">
        <f t="shared" si="0"/>
        <v>0.37124299999999999</v>
      </c>
    </row>
    <row r="30" spans="1:12">
      <c r="A30" t="s">
        <v>64</v>
      </c>
      <c r="B30">
        <v>6.3210000000000002E-3</v>
      </c>
      <c r="C30">
        <v>2.977E-3</v>
      </c>
      <c r="D30" s="2">
        <v>3.8430000000000003E-6</v>
      </c>
      <c r="E30" s="2">
        <v>1.5130000000000001E-5</v>
      </c>
      <c r="K30" t="str">
        <f t="shared" si="0"/>
        <v>sigmaG</v>
      </c>
      <c r="L30">
        <f t="shared" si="0"/>
        <v>6.3210000000000002E-3</v>
      </c>
    </row>
    <row r="31" spans="1:12">
      <c r="A31" t="s">
        <v>65</v>
      </c>
      <c r="B31">
        <v>2.1871000000000002E-2</v>
      </c>
      <c r="C31">
        <v>9.2680000000000002E-3</v>
      </c>
      <c r="D31" s="2">
        <v>1.1970000000000001E-5</v>
      </c>
      <c r="E31" s="2">
        <v>5.9280000000000002E-5</v>
      </c>
      <c r="K31" t="str">
        <f t="shared" si="0"/>
        <v>sigmaI</v>
      </c>
      <c r="L31">
        <f t="shared" si="0"/>
        <v>2.1871000000000002E-2</v>
      </c>
    </row>
    <row r="33" spans="1:12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>
      <c r="A36" t="s">
        <v>11</v>
      </c>
      <c r="B36">
        <v>8.0628000000000005E-2</v>
      </c>
      <c r="C36">
        <v>0.224246</v>
      </c>
      <c r="D36">
        <v>0.390295</v>
      </c>
      <c r="E36">
        <v>0.61853000000000002</v>
      </c>
      <c r="F36">
        <v>0.94513999999999998</v>
      </c>
      <c r="K36" t="str">
        <f>CONCATENATE(A36,"_median")</f>
        <v>Tag_median</v>
      </c>
      <c r="L36">
        <f>D36</f>
        <v>0.390295</v>
      </c>
    </row>
    <row r="37" spans="1:12">
      <c r="A37" t="s">
        <v>12</v>
      </c>
      <c r="B37">
        <v>2.2224000000000001E-2</v>
      </c>
      <c r="C37">
        <v>0.17765600000000001</v>
      </c>
      <c r="D37">
        <v>0.33479900000000001</v>
      </c>
      <c r="E37">
        <v>0.51411899999999999</v>
      </c>
      <c r="F37">
        <v>0.81910000000000005</v>
      </c>
      <c r="K37" t="str">
        <f t="shared" ref="K37:K49" si="1">CONCATENATE(A37,"_median")</f>
        <v>Tai_median</v>
      </c>
      <c r="L37">
        <f t="shared" ref="L37:L49" si="2">D37</f>
        <v>0.33479900000000001</v>
      </c>
    </row>
    <row r="38" spans="1:12">
      <c r="A38" t="s">
        <v>13</v>
      </c>
      <c r="B38">
        <v>1.9785000000000001E-2</v>
      </c>
      <c r="C38">
        <v>0.196932</v>
      </c>
      <c r="D38">
        <v>0.38069799999999998</v>
      </c>
      <c r="E38">
        <v>0.63613500000000001</v>
      </c>
      <c r="F38">
        <v>0.93949000000000005</v>
      </c>
      <c r="K38" t="str">
        <f t="shared" si="1"/>
        <v>Tga_median</v>
      </c>
      <c r="L38">
        <f t="shared" si="2"/>
        <v>0.38069799999999998</v>
      </c>
    </row>
    <row r="39" spans="1:12">
      <c r="A39" t="s">
        <v>14</v>
      </c>
      <c r="B39">
        <v>0.216197</v>
      </c>
      <c r="C39">
        <v>0.48314699999999999</v>
      </c>
      <c r="D39">
        <v>0.64071199999999995</v>
      </c>
      <c r="E39">
        <v>0.81135599999999997</v>
      </c>
      <c r="F39">
        <v>0.97992000000000001</v>
      </c>
      <c r="K39" t="str">
        <f t="shared" si="1"/>
        <v>Tgi_median</v>
      </c>
      <c r="L39">
        <f t="shared" si="2"/>
        <v>0.64071199999999995</v>
      </c>
    </row>
    <row r="40" spans="1:12">
      <c r="A40" t="s">
        <v>15</v>
      </c>
      <c r="B40">
        <v>8.2835000000000006E-2</v>
      </c>
      <c r="C40">
        <v>0.35752299999999998</v>
      </c>
      <c r="D40">
        <v>0.58178200000000002</v>
      </c>
      <c r="E40">
        <v>0.78769800000000001</v>
      </c>
      <c r="F40">
        <v>0.97650999999999999</v>
      </c>
      <c r="K40" t="str">
        <f t="shared" si="1"/>
        <v>Tia_median</v>
      </c>
      <c r="L40">
        <f t="shared" si="2"/>
        <v>0.58178200000000002</v>
      </c>
    </row>
    <row r="41" spans="1:12">
      <c r="A41" t="s">
        <v>16</v>
      </c>
      <c r="B41">
        <v>4.3716999999999999E-2</v>
      </c>
      <c r="C41">
        <v>0.23835799999999999</v>
      </c>
      <c r="D41">
        <v>0.392287</v>
      </c>
      <c r="E41">
        <v>0.56010599999999999</v>
      </c>
      <c r="F41">
        <v>0.84614</v>
      </c>
      <c r="K41" t="str">
        <f t="shared" si="1"/>
        <v>Tig_median</v>
      </c>
      <c r="L41">
        <f t="shared" si="2"/>
        <v>0.392287</v>
      </c>
    </row>
    <row r="42" spans="1:12">
      <c r="A42" t="s">
        <v>58</v>
      </c>
      <c r="B42">
        <v>2.4905E-2</v>
      </c>
      <c r="C42">
        <v>0.201705</v>
      </c>
      <c r="D42">
        <v>0.36874000000000001</v>
      </c>
      <c r="E42">
        <v>0.53820599999999996</v>
      </c>
      <c r="F42">
        <v>0.79057999999999995</v>
      </c>
      <c r="K42" t="str">
        <f t="shared" si="1"/>
        <v>cag_median</v>
      </c>
      <c r="L42">
        <f t="shared" si="2"/>
        <v>0.36874000000000001</v>
      </c>
    </row>
    <row r="43" spans="1:12">
      <c r="A43" t="s">
        <v>59</v>
      </c>
      <c r="B43">
        <v>2.4854000000000001E-2</v>
      </c>
      <c r="C43">
        <v>0.22655</v>
      </c>
      <c r="D43">
        <v>0.43940299999999999</v>
      </c>
      <c r="E43">
        <v>0.66916299999999995</v>
      </c>
      <c r="F43">
        <v>0.95699000000000001</v>
      </c>
      <c r="K43" t="str">
        <f t="shared" si="1"/>
        <v>cai_median</v>
      </c>
      <c r="L43">
        <f t="shared" si="2"/>
        <v>0.43940299999999999</v>
      </c>
    </row>
    <row r="44" spans="1:12">
      <c r="A44" t="s">
        <v>60</v>
      </c>
      <c r="B44">
        <v>1.8529E-2</v>
      </c>
      <c r="C44">
        <v>0.18248200000000001</v>
      </c>
      <c r="D44">
        <v>0.36962099999999998</v>
      </c>
      <c r="E44">
        <v>0.58423099999999994</v>
      </c>
      <c r="F44">
        <v>0.89922000000000002</v>
      </c>
      <c r="K44" t="str">
        <f t="shared" si="1"/>
        <v>cga_median</v>
      </c>
      <c r="L44">
        <f t="shared" si="2"/>
        <v>0.36962099999999998</v>
      </c>
    </row>
    <row r="45" spans="1:12">
      <c r="A45" t="s">
        <v>61</v>
      </c>
      <c r="B45">
        <v>1.4518E-2</v>
      </c>
      <c r="C45">
        <v>0.13342200000000001</v>
      </c>
      <c r="D45">
        <v>0.265343</v>
      </c>
      <c r="E45">
        <v>0.42058200000000001</v>
      </c>
      <c r="F45">
        <v>0.70959000000000005</v>
      </c>
      <c r="K45" t="str">
        <f t="shared" si="1"/>
        <v>cgi_median</v>
      </c>
      <c r="L45">
        <f t="shared" si="2"/>
        <v>0.265343</v>
      </c>
    </row>
    <row r="46" spans="1:12">
      <c r="A46" t="s">
        <v>62</v>
      </c>
      <c r="B46">
        <v>1.1778E-2</v>
      </c>
      <c r="C46">
        <v>0.12467499999999999</v>
      </c>
      <c r="D46">
        <v>0.27382200000000001</v>
      </c>
      <c r="E46">
        <v>0.480097</v>
      </c>
      <c r="F46">
        <v>0.87805</v>
      </c>
      <c r="K46" t="str">
        <f t="shared" si="1"/>
        <v>cia_median</v>
      </c>
      <c r="L46">
        <f t="shared" si="2"/>
        <v>0.27382200000000001</v>
      </c>
    </row>
    <row r="47" spans="1:12">
      <c r="A47" t="s">
        <v>63</v>
      </c>
      <c r="B47">
        <v>1.4363000000000001E-2</v>
      </c>
      <c r="C47">
        <v>0.15246699999999999</v>
      </c>
      <c r="D47">
        <v>0.33121</v>
      </c>
      <c r="E47">
        <v>0.55972500000000003</v>
      </c>
      <c r="F47">
        <v>0.90954999999999997</v>
      </c>
      <c r="K47" t="str">
        <f t="shared" si="1"/>
        <v>cig_median</v>
      </c>
      <c r="L47">
        <f t="shared" si="2"/>
        <v>0.33121</v>
      </c>
    </row>
    <row r="48" spans="1:12">
      <c r="A48" t="s">
        <v>64</v>
      </c>
      <c r="B48">
        <v>3.0349999999999999E-3</v>
      </c>
      <c r="C48">
        <v>4.4120000000000001E-3</v>
      </c>
      <c r="D48">
        <v>5.5909999999999996E-3</v>
      </c>
      <c r="E48">
        <v>7.3429999999999997E-3</v>
      </c>
      <c r="F48">
        <v>1.401E-2</v>
      </c>
      <c r="K48" t="str">
        <f t="shared" si="1"/>
        <v>sigmaG_median</v>
      </c>
      <c r="L48">
        <f t="shared" si="2"/>
        <v>5.5909999999999996E-3</v>
      </c>
    </row>
    <row r="49" spans="1:12">
      <c r="A49" t="s">
        <v>65</v>
      </c>
      <c r="B49">
        <v>1.0906000000000001E-2</v>
      </c>
      <c r="C49">
        <v>1.5719E-2</v>
      </c>
      <c r="D49">
        <v>1.9734000000000002E-2</v>
      </c>
      <c r="E49">
        <v>2.5510000000000001E-2</v>
      </c>
      <c r="F49">
        <v>4.5420000000000002E-2</v>
      </c>
      <c r="K49" t="str">
        <f t="shared" si="1"/>
        <v>sigmaI_median</v>
      </c>
      <c r="L49">
        <f t="shared" si="2"/>
        <v>1.9734000000000002E-2</v>
      </c>
    </row>
    <row r="51" spans="1:12">
      <c r="A51" t="s">
        <v>68</v>
      </c>
      <c r="B51" t="s">
        <v>69</v>
      </c>
      <c r="C51" t="s">
        <v>70</v>
      </c>
      <c r="D51" t="s">
        <v>71</v>
      </c>
    </row>
    <row r="53" spans="1:12">
      <c r="B53" t="s">
        <v>72</v>
      </c>
      <c r="C53" t="s">
        <v>73</v>
      </c>
      <c r="D53" t="s">
        <v>74</v>
      </c>
      <c r="E53" t="s">
        <v>75</v>
      </c>
    </row>
    <row r="54" spans="1:12">
      <c r="A54" t="s">
        <v>11</v>
      </c>
      <c r="B54">
        <v>1.03</v>
      </c>
      <c r="C54">
        <v>1.07</v>
      </c>
      <c r="K54" t="str">
        <f>CONCATENATE(A54,"_rhat")</f>
        <v>Tag_rhat</v>
      </c>
      <c r="L54">
        <f>B54</f>
        <v>1.03</v>
      </c>
    </row>
    <row r="55" spans="1:12">
      <c r="A55" t="s">
        <v>12</v>
      </c>
      <c r="B55">
        <v>1</v>
      </c>
      <c r="C55">
        <v>1.01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>
      <c r="A56" t="s">
        <v>13</v>
      </c>
      <c r="B56">
        <v>1.03</v>
      </c>
      <c r="C56">
        <v>1.08</v>
      </c>
      <c r="K56" t="str">
        <f t="shared" si="3"/>
        <v>Tga_rhat</v>
      </c>
      <c r="L56">
        <f t="shared" si="4"/>
        <v>1.03</v>
      </c>
    </row>
    <row r="57" spans="1:12">
      <c r="A57" t="s">
        <v>14</v>
      </c>
      <c r="B57">
        <v>1.01</v>
      </c>
      <c r="C57">
        <v>1.01</v>
      </c>
      <c r="K57" t="str">
        <f t="shared" si="3"/>
        <v>Tgi_rhat</v>
      </c>
      <c r="L57">
        <f t="shared" si="4"/>
        <v>1.01</v>
      </c>
    </row>
    <row r="58" spans="1:12">
      <c r="A58" t="s">
        <v>15</v>
      </c>
      <c r="B58">
        <v>1</v>
      </c>
      <c r="C58">
        <v>1</v>
      </c>
      <c r="K58" t="str">
        <f t="shared" si="3"/>
        <v>Tia_rhat</v>
      </c>
      <c r="L58">
        <f t="shared" si="4"/>
        <v>1</v>
      </c>
    </row>
    <row r="59" spans="1:12">
      <c r="A59" t="s">
        <v>16</v>
      </c>
      <c r="B59">
        <v>1.01</v>
      </c>
      <c r="C59">
        <v>1.02</v>
      </c>
      <c r="K59" t="str">
        <f t="shared" si="3"/>
        <v>Tig_rhat</v>
      </c>
      <c r="L59">
        <f t="shared" si="4"/>
        <v>1.01</v>
      </c>
    </row>
    <row r="60" spans="1:12">
      <c r="A60" t="s">
        <v>58</v>
      </c>
      <c r="B60">
        <v>1.01</v>
      </c>
      <c r="C60">
        <v>1.02</v>
      </c>
      <c r="K60" t="str">
        <f t="shared" si="3"/>
        <v>cag_rhat</v>
      </c>
      <c r="L60">
        <f t="shared" si="4"/>
        <v>1.01</v>
      </c>
    </row>
    <row r="61" spans="1:12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>
      <c r="A62" t="s">
        <v>60</v>
      </c>
      <c r="B62">
        <v>1</v>
      </c>
      <c r="C62">
        <v>1.01</v>
      </c>
      <c r="K62" t="str">
        <f t="shared" si="3"/>
        <v>cga_rhat</v>
      </c>
      <c r="L62">
        <f t="shared" si="4"/>
        <v>1</v>
      </c>
    </row>
    <row r="63" spans="1:12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>
      <c r="A69" t="s">
        <v>76</v>
      </c>
      <c r="B69" t="s">
        <v>77</v>
      </c>
    </row>
    <row r="71" spans="1:12">
      <c r="A71">
        <v>1.03</v>
      </c>
      <c r="K71" t="s">
        <v>85</v>
      </c>
      <c r="L71">
        <f>A71</f>
        <v>1.03</v>
      </c>
    </row>
    <row r="72" spans="1:12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</row>
    <row r="73" spans="1:12">
      <c r="B73">
        <v>180.76249999999999</v>
      </c>
      <c r="C73">
        <v>1866.7192</v>
      </c>
      <c r="D73">
        <v>213.17580000000001</v>
      </c>
      <c r="E73">
        <v>409.67309999999998</v>
      </c>
      <c r="F73">
        <v>1529.1898000000001</v>
      </c>
      <c r="G73">
        <v>398.35700000000003</v>
      </c>
    </row>
    <row r="74" spans="1:12">
      <c r="B74" t="s">
        <v>58</v>
      </c>
      <c r="C74" t="s">
        <v>59</v>
      </c>
      <c r="D74" t="s">
        <v>60</v>
      </c>
      <c r="E74" t="s">
        <v>61</v>
      </c>
      <c r="F74" t="s">
        <v>62</v>
      </c>
      <c r="G74" t="s">
        <v>63</v>
      </c>
    </row>
    <row r="75" spans="1:12">
      <c r="B75">
        <v>1501.5401999999999</v>
      </c>
      <c r="C75">
        <v>18799.445599999999</v>
      </c>
      <c r="D75">
        <v>1970.8894</v>
      </c>
      <c r="E75">
        <v>5380.9233000000004</v>
      </c>
      <c r="F75">
        <v>11238.467199999999</v>
      </c>
      <c r="G75">
        <v>10318.9138</v>
      </c>
    </row>
    <row r="76" spans="1:12">
      <c r="B76" t="s">
        <v>64</v>
      </c>
      <c r="C76" t="s">
        <v>65</v>
      </c>
    </row>
    <row r="77" spans="1:12">
      <c r="A77">
        <v>39205.431100000002</v>
      </c>
      <c r="B77">
        <v>25896.403200000001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L75"/>
  <sheetViews>
    <sheetView topLeftCell="A58" workbookViewId="0">
      <selection activeCell="K72" sqref="K72:L86"/>
    </sheetView>
  </sheetViews>
  <sheetFormatPr defaultRowHeight="15"/>
  <cols>
    <col min="1" max="1" width="11.85546875" bestFit="1" customWidth="1"/>
    <col min="2" max="2" width="17" bestFit="1" customWidth="1"/>
    <col min="3" max="3" width="13.7109375" bestFit="1" customWidth="1"/>
    <col min="4" max="5" width="10" bestFit="1" customWidth="1"/>
    <col min="6" max="6" width="11.42578125" bestFit="1" customWidth="1"/>
    <col min="7" max="7" width="10" bestFit="1" customWidth="1"/>
    <col min="8" max="8" width="8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1984</v>
      </c>
      <c r="K4" t="s">
        <v>84</v>
      </c>
      <c r="L4">
        <f>B4</f>
        <v>1984</v>
      </c>
    </row>
    <row r="5" spans="1:12">
      <c r="A5" t="s">
        <v>30</v>
      </c>
      <c r="B5" t="s">
        <v>31</v>
      </c>
      <c r="C5">
        <v>-79.89</v>
      </c>
      <c r="K5" t="s">
        <v>78</v>
      </c>
      <c r="L5">
        <f>C5</f>
        <v>-79.89</v>
      </c>
    </row>
    <row r="6" spans="1:12">
      <c r="A6" t="s">
        <v>32</v>
      </c>
      <c r="B6">
        <v>12.02</v>
      </c>
      <c r="K6" t="s">
        <v>79</v>
      </c>
      <c r="L6">
        <f>B6</f>
        <v>12.02</v>
      </c>
    </row>
    <row r="7" spans="1:12">
      <c r="A7" t="s">
        <v>33</v>
      </c>
      <c r="B7" t="s">
        <v>31</v>
      </c>
      <c r="C7">
        <v>-67.87</v>
      </c>
      <c r="K7" t="s">
        <v>80</v>
      </c>
      <c r="L7">
        <f>C7</f>
        <v>-67.87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0.43495</v>
      </c>
      <c r="C18">
        <v>0.25185000000000002</v>
      </c>
      <c r="D18" s="2">
        <v>3.2509999999999999E-4</v>
      </c>
      <c r="E18" s="2">
        <v>7.2760000000000003E-3</v>
      </c>
      <c r="K18" t="str">
        <f>A18</f>
        <v>Tag</v>
      </c>
      <c r="L18">
        <f>B18</f>
        <v>0.43495</v>
      </c>
    </row>
    <row r="19" spans="1:12">
      <c r="A19" t="s">
        <v>12</v>
      </c>
      <c r="B19">
        <v>0.35189999999999999</v>
      </c>
      <c r="C19">
        <v>0.22982</v>
      </c>
      <c r="D19" s="2">
        <v>2.967E-4</v>
      </c>
      <c r="E19" s="2">
        <v>4.431E-3</v>
      </c>
      <c r="K19" t="str">
        <f t="shared" ref="K19:L31" si="0">A19</f>
        <v>Tai</v>
      </c>
      <c r="L19">
        <f t="shared" si="0"/>
        <v>0.35189999999999999</v>
      </c>
    </row>
    <row r="20" spans="1:12">
      <c r="A20" t="s">
        <v>13</v>
      </c>
      <c r="B20">
        <v>0.42968000000000001</v>
      </c>
      <c r="C20">
        <v>0.26055</v>
      </c>
      <c r="D20" s="2">
        <v>3.3639999999999999E-4</v>
      </c>
      <c r="E20" s="2">
        <v>7.1469999999999997E-3</v>
      </c>
      <c r="K20" t="str">
        <f t="shared" si="0"/>
        <v>Tga</v>
      </c>
      <c r="L20">
        <f t="shared" si="0"/>
        <v>0.42968000000000001</v>
      </c>
    </row>
    <row r="21" spans="1:12">
      <c r="A21" t="s">
        <v>14</v>
      </c>
      <c r="B21">
        <v>0.56537999999999999</v>
      </c>
      <c r="C21">
        <v>0.23579</v>
      </c>
      <c r="D21" s="2">
        <v>3.0440000000000003E-4</v>
      </c>
      <c r="E21" s="2">
        <v>5.6820000000000004E-3</v>
      </c>
      <c r="K21" t="str">
        <f t="shared" si="0"/>
        <v>Tgi</v>
      </c>
      <c r="L21">
        <f t="shared" si="0"/>
        <v>0.56537999999999999</v>
      </c>
    </row>
    <row r="22" spans="1:12">
      <c r="A22" t="s">
        <v>15</v>
      </c>
      <c r="B22">
        <v>0.55230999999999997</v>
      </c>
      <c r="C22">
        <v>0.25724000000000002</v>
      </c>
      <c r="D22" s="2">
        <v>3.321E-4</v>
      </c>
      <c r="E22" s="2">
        <v>5.084E-3</v>
      </c>
      <c r="K22" t="str">
        <f t="shared" si="0"/>
        <v>Tia</v>
      </c>
      <c r="L22">
        <f t="shared" si="0"/>
        <v>0.55230999999999997</v>
      </c>
    </row>
    <row r="23" spans="1:12">
      <c r="A23" t="s">
        <v>16</v>
      </c>
      <c r="B23">
        <v>0.34371000000000002</v>
      </c>
      <c r="C23">
        <v>0.23674999999999999</v>
      </c>
      <c r="D23" s="2">
        <v>3.056E-4</v>
      </c>
      <c r="E23" s="2">
        <v>5.8719999999999996E-3</v>
      </c>
      <c r="K23" t="str">
        <f t="shared" si="0"/>
        <v>Tig</v>
      </c>
      <c r="L23">
        <f t="shared" si="0"/>
        <v>0.34371000000000002</v>
      </c>
    </row>
    <row r="24" spans="1:12">
      <c r="A24" t="s">
        <v>58</v>
      </c>
      <c r="B24">
        <v>0.38235000000000002</v>
      </c>
      <c r="C24">
        <v>0.23798</v>
      </c>
      <c r="D24" s="2">
        <v>3.0719999999999999E-4</v>
      </c>
      <c r="E24" s="2">
        <v>2.6580000000000002E-3</v>
      </c>
      <c r="K24" t="str">
        <f t="shared" si="0"/>
        <v>cag</v>
      </c>
      <c r="L24">
        <f t="shared" si="0"/>
        <v>0.38235000000000002</v>
      </c>
    </row>
    <row r="25" spans="1:12">
      <c r="A25" t="s">
        <v>59</v>
      </c>
      <c r="B25">
        <v>0.47458</v>
      </c>
      <c r="C25">
        <v>0.27787000000000001</v>
      </c>
      <c r="D25" s="2">
        <v>3.5869999999999999E-4</v>
      </c>
      <c r="E25" s="2">
        <v>1.714E-3</v>
      </c>
      <c r="K25" t="str">
        <f t="shared" si="0"/>
        <v>cai</v>
      </c>
      <c r="L25">
        <f t="shared" si="0"/>
        <v>0.47458</v>
      </c>
    </row>
    <row r="26" spans="1:12">
      <c r="A26" t="s">
        <v>60</v>
      </c>
      <c r="B26">
        <v>0.40122999999999998</v>
      </c>
      <c r="C26">
        <v>0.25358999999999998</v>
      </c>
      <c r="D26" s="2">
        <v>3.2739999999999999E-4</v>
      </c>
      <c r="E26" s="2">
        <v>2.764E-3</v>
      </c>
      <c r="K26" t="str">
        <f t="shared" si="0"/>
        <v>cga</v>
      </c>
      <c r="L26">
        <f t="shared" si="0"/>
        <v>0.40122999999999998</v>
      </c>
    </row>
    <row r="27" spans="1:12">
      <c r="A27" t="s">
        <v>61</v>
      </c>
      <c r="B27">
        <v>0.43224000000000001</v>
      </c>
      <c r="C27">
        <v>0.21476999999999999</v>
      </c>
      <c r="D27" s="2">
        <v>2.7730000000000002E-4</v>
      </c>
      <c r="E27" s="2">
        <v>1.3669999999999999E-3</v>
      </c>
      <c r="K27" t="str">
        <f t="shared" si="0"/>
        <v>cgi</v>
      </c>
      <c r="L27">
        <f t="shared" si="0"/>
        <v>0.43224000000000001</v>
      </c>
    </row>
    <row r="28" spans="1:12">
      <c r="A28" t="s">
        <v>62</v>
      </c>
      <c r="B28">
        <v>0.35048000000000001</v>
      </c>
      <c r="C28">
        <v>0.24460999999999999</v>
      </c>
      <c r="D28" s="2">
        <v>3.1579999999999998E-4</v>
      </c>
      <c r="E28" s="2">
        <v>1.9469999999999999E-3</v>
      </c>
      <c r="K28" t="str">
        <f t="shared" si="0"/>
        <v>cia</v>
      </c>
      <c r="L28">
        <f t="shared" si="0"/>
        <v>0.35048000000000001</v>
      </c>
    </row>
    <row r="29" spans="1:12">
      <c r="A29" t="s">
        <v>63</v>
      </c>
      <c r="B29">
        <v>0.43726999999999999</v>
      </c>
      <c r="C29">
        <v>0.28588999999999998</v>
      </c>
      <c r="D29" s="2">
        <v>3.6910000000000003E-4</v>
      </c>
      <c r="E29" s="2">
        <v>1.699E-3</v>
      </c>
      <c r="K29" t="str">
        <f t="shared" si="0"/>
        <v>cig</v>
      </c>
      <c r="L29">
        <f t="shared" si="0"/>
        <v>0.43726999999999999</v>
      </c>
    </row>
    <row r="30" spans="1:12">
      <c r="A30" t="s">
        <v>64</v>
      </c>
      <c r="B30">
        <v>1.924E-2</v>
      </c>
      <c r="C30">
        <v>8.3300000000000006E-3</v>
      </c>
      <c r="D30" s="2">
        <v>1.075E-5</v>
      </c>
      <c r="E30" s="2">
        <v>3.2570000000000002E-5</v>
      </c>
      <c r="K30" t="str">
        <f t="shared" si="0"/>
        <v>sigmaG</v>
      </c>
      <c r="L30">
        <f t="shared" si="0"/>
        <v>1.924E-2</v>
      </c>
    </row>
    <row r="31" spans="1:12">
      <c r="A31" t="s">
        <v>65</v>
      </c>
      <c r="B31">
        <v>2.6890000000000001E-2</v>
      </c>
      <c r="C31">
        <v>1.115E-2</v>
      </c>
      <c r="D31" s="2">
        <v>1.4389999999999999E-5</v>
      </c>
      <c r="E31" s="2">
        <v>3.96E-5</v>
      </c>
      <c r="K31" t="str">
        <f t="shared" si="0"/>
        <v>sigmaI</v>
      </c>
      <c r="L31">
        <f t="shared" si="0"/>
        <v>2.6890000000000001E-2</v>
      </c>
    </row>
    <row r="33" spans="1:12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>
      <c r="A36" t="s">
        <v>11</v>
      </c>
      <c r="B36">
        <v>4.7132E-2</v>
      </c>
      <c r="C36">
        <v>0.22531000000000001</v>
      </c>
      <c r="D36">
        <v>0.40096999999999999</v>
      </c>
      <c r="E36">
        <v>0.62856999999999996</v>
      </c>
      <c r="F36">
        <v>0.93506999999999996</v>
      </c>
      <c r="K36" t="str">
        <f>CONCATENATE(A36,"_median")</f>
        <v>Tag_median</v>
      </c>
      <c r="L36">
        <f>D36</f>
        <v>0.40096999999999999</v>
      </c>
    </row>
    <row r="37" spans="1:12">
      <c r="A37" t="s">
        <v>12</v>
      </c>
      <c r="B37">
        <v>1.8794999999999999E-2</v>
      </c>
      <c r="C37">
        <v>0.16374</v>
      </c>
      <c r="D37">
        <v>0.31833</v>
      </c>
      <c r="E37">
        <v>0.51200000000000001</v>
      </c>
      <c r="F37">
        <v>0.85233000000000003</v>
      </c>
      <c r="K37" t="str">
        <f t="shared" ref="K37:K49" si="1">CONCATENATE(A37,"_median")</f>
        <v>Tai_median</v>
      </c>
      <c r="L37">
        <f t="shared" ref="L37:L49" si="2">D37</f>
        <v>0.31833</v>
      </c>
    </row>
    <row r="38" spans="1:12">
      <c r="A38" t="s">
        <v>13</v>
      </c>
      <c r="B38">
        <v>2.6386E-2</v>
      </c>
      <c r="C38">
        <v>0.21415999999999999</v>
      </c>
      <c r="D38">
        <v>0.40067000000000003</v>
      </c>
      <c r="E38">
        <v>0.63087000000000004</v>
      </c>
      <c r="F38">
        <v>0.93833999999999995</v>
      </c>
      <c r="K38" t="str">
        <f t="shared" si="1"/>
        <v>Tga_median</v>
      </c>
      <c r="L38">
        <f t="shared" si="2"/>
        <v>0.40067000000000003</v>
      </c>
    </row>
    <row r="39" spans="1:12">
      <c r="A39" t="s">
        <v>14</v>
      </c>
      <c r="B39">
        <v>0.12821099999999999</v>
      </c>
      <c r="C39">
        <v>0.38249</v>
      </c>
      <c r="D39">
        <v>0.56215000000000004</v>
      </c>
      <c r="E39">
        <v>0.75666</v>
      </c>
      <c r="F39">
        <v>0.97192000000000001</v>
      </c>
      <c r="K39" t="str">
        <f t="shared" si="1"/>
        <v>Tgi_median</v>
      </c>
      <c r="L39">
        <f t="shared" si="2"/>
        <v>0.56215000000000004</v>
      </c>
    </row>
    <row r="40" spans="1:12">
      <c r="A40" t="s">
        <v>15</v>
      </c>
      <c r="B40">
        <v>7.7275999999999997E-2</v>
      </c>
      <c r="C40">
        <v>0.34925</v>
      </c>
      <c r="D40">
        <v>0.55861000000000005</v>
      </c>
      <c r="E40">
        <v>0.76649</v>
      </c>
      <c r="F40">
        <v>0.97492000000000001</v>
      </c>
      <c r="K40" t="str">
        <f t="shared" si="1"/>
        <v>Tia_median</v>
      </c>
      <c r="L40">
        <f t="shared" si="2"/>
        <v>0.55861000000000005</v>
      </c>
    </row>
    <row r="41" spans="1:12">
      <c r="A41" t="s">
        <v>16</v>
      </c>
      <c r="B41">
        <v>1.3644999999999999E-2</v>
      </c>
      <c r="C41">
        <v>0.14248</v>
      </c>
      <c r="D41">
        <v>0.30953000000000003</v>
      </c>
      <c r="E41">
        <v>0.51293</v>
      </c>
      <c r="F41">
        <v>0.85197000000000001</v>
      </c>
      <c r="K41" t="str">
        <f t="shared" si="1"/>
        <v>Tig_median</v>
      </c>
      <c r="L41">
        <f t="shared" si="2"/>
        <v>0.30953000000000003</v>
      </c>
    </row>
    <row r="42" spans="1:12">
      <c r="A42" t="s">
        <v>58</v>
      </c>
      <c r="B42">
        <v>2.0753000000000001E-2</v>
      </c>
      <c r="C42">
        <v>0.18775</v>
      </c>
      <c r="D42">
        <v>0.35848999999999998</v>
      </c>
      <c r="E42">
        <v>0.55127999999999999</v>
      </c>
      <c r="F42">
        <v>0.88829000000000002</v>
      </c>
      <c r="K42" t="str">
        <f t="shared" si="1"/>
        <v>cag_median</v>
      </c>
      <c r="L42">
        <f t="shared" si="2"/>
        <v>0.35848999999999998</v>
      </c>
    </row>
    <row r="43" spans="1:12">
      <c r="A43" t="s">
        <v>59</v>
      </c>
      <c r="B43">
        <v>2.5194999999999999E-2</v>
      </c>
      <c r="C43">
        <v>0.23896999999999999</v>
      </c>
      <c r="D43">
        <v>0.46392</v>
      </c>
      <c r="E43">
        <v>0.70348999999999995</v>
      </c>
      <c r="F43">
        <v>0.96604000000000001</v>
      </c>
      <c r="K43" t="str">
        <f t="shared" si="1"/>
        <v>cai_median</v>
      </c>
      <c r="L43">
        <f t="shared" si="2"/>
        <v>0.46392</v>
      </c>
    </row>
    <row r="44" spans="1:12">
      <c r="A44" t="s">
        <v>60</v>
      </c>
      <c r="B44">
        <v>1.9181E-2</v>
      </c>
      <c r="C44">
        <v>0.18748000000000001</v>
      </c>
      <c r="D44">
        <v>0.37631999999999999</v>
      </c>
      <c r="E44">
        <v>0.59208000000000005</v>
      </c>
      <c r="F44">
        <v>0.90920000000000001</v>
      </c>
      <c r="K44" t="str">
        <f t="shared" si="1"/>
        <v>cga_median</v>
      </c>
      <c r="L44">
        <f t="shared" si="2"/>
        <v>0.37631999999999999</v>
      </c>
    </row>
    <row r="45" spans="1:12">
      <c r="A45" t="s">
        <v>61</v>
      </c>
      <c r="B45">
        <v>4.1033E-2</v>
      </c>
      <c r="C45">
        <v>0.27052999999999999</v>
      </c>
      <c r="D45">
        <v>0.43425000000000002</v>
      </c>
      <c r="E45">
        <v>0.58804000000000001</v>
      </c>
      <c r="F45">
        <v>0.84955999999999998</v>
      </c>
      <c r="K45" t="str">
        <f t="shared" si="1"/>
        <v>cgi_median</v>
      </c>
      <c r="L45">
        <f t="shared" si="2"/>
        <v>0.43425000000000002</v>
      </c>
    </row>
    <row r="46" spans="1:12">
      <c r="A46" t="s">
        <v>62</v>
      </c>
      <c r="B46">
        <v>1.4704999999999999E-2</v>
      </c>
      <c r="C46">
        <v>0.14706</v>
      </c>
      <c r="D46">
        <v>0.30861</v>
      </c>
      <c r="E46">
        <v>0.51753000000000005</v>
      </c>
      <c r="F46">
        <v>0.89273000000000002</v>
      </c>
      <c r="K46" t="str">
        <f t="shared" si="1"/>
        <v>cia_median</v>
      </c>
      <c r="L46">
        <f t="shared" si="2"/>
        <v>0.30861</v>
      </c>
    </row>
    <row r="47" spans="1:12">
      <c r="A47" t="s">
        <v>63</v>
      </c>
      <c r="B47">
        <v>1.7416999999999998E-2</v>
      </c>
      <c r="C47">
        <v>0.18579000000000001</v>
      </c>
      <c r="D47">
        <v>0.40587000000000001</v>
      </c>
      <c r="E47">
        <v>0.67318</v>
      </c>
      <c r="F47">
        <v>0.96367999999999998</v>
      </c>
      <c r="K47" t="str">
        <f t="shared" si="1"/>
        <v>cig_median</v>
      </c>
      <c r="L47">
        <f t="shared" si="2"/>
        <v>0.40587000000000001</v>
      </c>
    </row>
    <row r="48" spans="1:12">
      <c r="A48" t="s">
        <v>64</v>
      </c>
      <c r="B48">
        <v>9.6340000000000002E-3</v>
      </c>
      <c r="C48">
        <v>1.38E-2</v>
      </c>
      <c r="D48">
        <v>1.729E-2</v>
      </c>
      <c r="E48">
        <v>2.2370000000000001E-2</v>
      </c>
      <c r="F48">
        <v>4.0370000000000003E-2</v>
      </c>
      <c r="K48" t="str">
        <f t="shared" si="1"/>
        <v>sigmaG_median</v>
      </c>
      <c r="L48">
        <f t="shared" si="2"/>
        <v>1.729E-2</v>
      </c>
    </row>
    <row r="49" spans="1:12">
      <c r="A49" t="s">
        <v>65</v>
      </c>
      <c r="B49">
        <v>1.3741E-2</v>
      </c>
      <c r="C49">
        <v>1.9529999999999999E-2</v>
      </c>
      <c r="D49">
        <v>2.435E-2</v>
      </c>
      <c r="E49">
        <v>3.1220000000000001E-2</v>
      </c>
      <c r="F49">
        <v>5.5120000000000002E-2</v>
      </c>
      <c r="K49" t="str">
        <f t="shared" si="1"/>
        <v>sigmaI_median</v>
      </c>
      <c r="L49">
        <f t="shared" si="2"/>
        <v>2.435E-2</v>
      </c>
    </row>
    <row r="51" spans="1:12">
      <c r="A51" t="s">
        <v>68</v>
      </c>
      <c r="B51" t="s">
        <v>69</v>
      </c>
      <c r="C51" t="s">
        <v>70</v>
      </c>
      <c r="D51" t="s">
        <v>71</v>
      </c>
    </row>
    <row r="53" spans="1:12">
      <c r="B53" t="s">
        <v>72</v>
      </c>
      <c r="C53" t="s">
        <v>73</v>
      </c>
      <c r="D53" t="s">
        <v>74</v>
      </c>
      <c r="E53" t="s">
        <v>75</v>
      </c>
    </row>
    <row r="54" spans="1:12">
      <c r="A54" t="s">
        <v>11</v>
      </c>
      <c r="B54">
        <v>1</v>
      </c>
      <c r="C54">
        <v>1.01</v>
      </c>
      <c r="K54" t="str">
        <f>CONCATENATE(A54,"_rhat")</f>
        <v>Tag_rhat</v>
      </c>
      <c r="L54">
        <f>B54</f>
        <v>1</v>
      </c>
    </row>
    <row r="55" spans="1:12">
      <c r="A55" t="s">
        <v>12</v>
      </c>
      <c r="B55">
        <v>1</v>
      </c>
      <c r="C55">
        <v>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>
      <c r="A56" t="s">
        <v>13</v>
      </c>
      <c r="B56">
        <v>1.01</v>
      </c>
      <c r="C56">
        <v>1.01</v>
      </c>
      <c r="K56" t="str">
        <f t="shared" si="3"/>
        <v>Tga_rhat</v>
      </c>
      <c r="L56">
        <f t="shared" si="4"/>
        <v>1.01</v>
      </c>
    </row>
    <row r="57" spans="1:12">
      <c r="A57" t="s">
        <v>14</v>
      </c>
      <c r="B57">
        <v>1</v>
      </c>
      <c r="C57">
        <v>1.01</v>
      </c>
      <c r="K57" t="str">
        <f t="shared" si="3"/>
        <v>Tgi_rhat</v>
      </c>
      <c r="L57">
        <f t="shared" si="4"/>
        <v>1</v>
      </c>
    </row>
    <row r="58" spans="1:12">
      <c r="A58" t="s">
        <v>15</v>
      </c>
      <c r="B58">
        <v>1</v>
      </c>
      <c r="C58">
        <v>1</v>
      </c>
      <c r="K58" t="str">
        <f t="shared" si="3"/>
        <v>Tia_rhat</v>
      </c>
      <c r="L58">
        <f t="shared" si="4"/>
        <v>1</v>
      </c>
    </row>
    <row r="59" spans="1:12">
      <c r="A59" t="s">
        <v>16</v>
      </c>
      <c r="B59">
        <v>1</v>
      </c>
      <c r="C59">
        <v>1</v>
      </c>
      <c r="K59" t="str">
        <f t="shared" si="3"/>
        <v>Tig_rhat</v>
      </c>
      <c r="L59">
        <f t="shared" si="4"/>
        <v>1</v>
      </c>
    </row>
    <row r="60" spans="1:12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>
      <c r="A62" t="s">
        <v>60</v>
      </c>
      <c r="B62">
        <v>1</v>
      </c>
      <c r="C62">
        <v>1</v>
      </c>
      <c r="K62" t="str">
        <f t="shared" si="3"/>
        <v>cga_rhat</v>
      </c>
      <c r="L62">
        <f t="shared" si="4"/>
        <v>1</v>
      </c>
    </row>
    <row r="63" spans="1:12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>
      <c r="A69" t="s">
        <v>76</v>
      </c>
      <c r="B69" t="s">
        <v>77</v>
      </c>
    </row>
    <row r="71" spans="1:12">
      <c r="A71">
        <v>1</v>
      </c>
      <c r="K71" t="s">
        <v>85</v>
      </c>
      <c r="L71">
        <f>A71</f>
        <v>1</v>
      </c>
    </row>
    <row r="72" spans="1:12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>
      <c r="B73">
        <v>1217.973</v>
      </c>
      <c r="C73">
        <v>2705.0940000000001</v>
      </c>
      <c r="D73">
        <v>1350.8019999999999</v>
      </c>
      <c r="E73">
        <v>1722.91</v>
      </c>
      <c r="F73">
        <v>2565.13</v>
      </c>
      <c r="G73">
        <v>1631.6890000000001</v>
      </c>
      <c r="H73">
        <v>8025.06</v>
      </c>
    </row>
    <row r="74" spans="1:12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>
      <c r="A75">
        <v>26391.625</v>
      </c>
      <c r="B75">
        <v>8477.4040000000005</v>
      </c>
      <c r="C75">
        <v>25001.329000000002</v>
      </c>
      <c r="D75">
        <v>15807.209000000001</v>
      </c>
      <c r="E75">
        <v>28668.253000000001</v>
      </c>
      <c r="F75">
        <v>67834.010999999999</v>
      </c>
      <c r="G75">
        <v>80008.721999999994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L55"/>
  <sheetViews>
    <sheetView topLeftCell="A31" workbookViewId="0">
      <selection activeCell="K55" sqref="K55:L63"/>
    </sheetView>
  </sheetViews>
  <sheetFormatPr defaultRowHeight="1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1980</v>
      </c>
      <c r="K4" t="s">
        <v>84</v>
      </c>
      <c r="L4">
        <f>B4</f>
        <v>1980</v>
      </c>
    </row>
    <row r="5" spans="1:12">
      <c r="A5" t="s">
        <v>30</v>
      </c>
      <c r="B5" t="s">
        <v>31</v>
      </c>
      <c r="C5">
        <v>-74.760000000000005</v>
      </c>
      <c r="K5" t="s">
        <v>78</v>
      </c>
      <c r="L5">
        <f>C5</f>
        <v>-74.760000000000005</v>
      </c>
    </row>
    <row r="6" spans="1:12">
      <c r="A6" t="s">
        <v>32</v>
      </c>
      <c r="B6">
        <v>9.0299999999999994</v>
      </c>
      <c r="K6" t="s">
        <v>79</v>
      </c>
      <c r="L6">
        <f>B6</f>
        <v>9.0299999999999994</v>
      </c>
    </row>
    <row r="7" spans="1:12">
      <c r="A7" t="s">
        <v>33</v>
      </c>
      <c r="B7" t="s">
        <v>31</v>
      </c>
      <c r="C7">
        <v>-65.73</v>
      </c>
      <c r="K7" t="s">
        <v>80</v>
      </c>
      <c r="L7">
        <f>C7</f>
        <v>-65.73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0.31911</v>
      </c>
      <c r="C18">
        <v>0.24257000000000001</v>
      </c>
      <c r="D18" s="2">
        <v>3.1320000000000002E-4</v>
      </c>
      <c r="E18" s="2">
        <v>2.5829999999999998E-3</v>
      </c>
      <c r="K18" t="str">
        <f>A18</f>
        <v>Tag</v>
      </c>
      <c r="L18">
        <f>B18</f>
        <v>0.31911</v>
      </c>
    </row>
    <row r="19" spans="1:12">
      <c r="A19" t="s">
        <v>12</v>
      </c>
      <c r="B19">
        <v>0.24501000000000001</v>
      </c>
      <c r="C19">
        <v>0.20355000000000001</v>
      </c>
      <c r="D19" s="2">
        <v>2.6279999999999999E-4</v>
      </c>
      <c r="E19" s="2">
        <v>2.7959999999999999E-3</v>
      </c>
      <c r="K19" t="str">
        <f t="shared" ref="K19:L25" si="0">A19</f>
        <v>Tai</v>
      </c>
      <c r="L19">
        <f t="shared" si="0"/>
        <v>0.24501000000000001</v>
      </c>
    </row>
    <row r="20" spans="1:12">
      <c r="A20" t="s">
        <v>13</v>
      </c>
      <c r="B20">
        <v>9.2289999999999997E-2</v>
      </c>
      <c r="C20">
        <v>7.5600000000000001E-2</v>
      </c>
      <c r="D20" s="2">
        <v>9.7600000000000001E-5</v>
      </c>
      <c r="E20" s="2">
        <v>8.0179999999999997E-4</v>
      </c>
      <c r="K20" t="str">
        <f t="shared" si="0"/>
        <v>Tga</v>
      </c>
      <c r="L20">
        <f t="shared" si="0"/>
        <v>9.2289999999999997E-2</v>
      </c>
    </row>
    <row r="21" spans="1:12">
      <c r="A21" t="s">
        <v>14</v>
      </c>
      <c r="B21">
        <v>0.15351999999999999</v>
      </c>
      <c r="C21">
        <v>0.13069</v>
      </c>
      <c r="D21" s="2">
        <v>1.6870000000000001E-4</v>
      </c>
      <c r="E21" s="2">
        <v>1.6800000000000001E-3</v>
      </c>
      <c r="K21" t="str">
        <f t="shared" si="0"/>
        <v>Tgi</v>
      </c>
      <c r="L21">
        <f t="shared" si="0"/>
        <v>0.15351999999999999</v>
      </c>
    </row>
    <row r="22" spans="1:12">
      <c r="A22" t="s">
        <v>15</v>
      </c>
      <c r="B22">
        <v>0.13259000000000001</v>
      </c>
      <c r="C22">
        <v>0.10115</v>
      </c>
      <c r="D22" s="2">
        <v>1.306E-4</v>
      </c>
      <c r="E22" s="2">
        <v>1.3749999999999999E-3</v>
      </c>
      <c r="K22" t="str">
        <f t="shared" si="0"/>
        <v>Tia</v>
      </c>
      <c r="L22">
        <f t="shared" si="0"/>
        <v>0.13259000000000001</v>
      </c>
    </row>
    <row r="23" spans="1:12">
      <c r="A23" t="s">
        <v>16</v>
      </c>
      <c r="B23">
        <v>0.22377</v>
      </c>
      <c r="C23">
        <v>0.19550999999999999</v>
      </c>
      <c r="D23" s="2">
        <v>2.5240000000000001E-4</v>
      </c>
      <c r="E23" s="2">
        <v>2.4239999999999999E-3</v>
      </c>
      <c r="K23" t="str">
        <f t="shared" si="0"/>
        <v>Tig</v>
      </c>
      <c r="L23">
        <f t="shared" si="0"/>
        <v>0.22377</v>
      </c>
    </row>
    <row r="24" spans="1:12">
      <c r="A24" t="s">
        <v>64</v>
      </c>
      <c r="B24">
        <v>2.6870000000000002E-2</v>
      </c>
      <c r="C24">
        <v>1.111E-2</v>
      </c>
      <c r="D24" s="2">
        <v>1.435E-5</v>
      </c>
      <c r="E24" s="2">
        <v>6.5889999999999994E-5</v>
      </c>
      <c r="K24" t="str">
        <f t="shared" si="0"/>
        <v>sigmaG</v>
      </c>
      <c r="L24">
        <f t="shared" si="0"/>
        <v>2.6870000000000002E-2</v>
      </c>
    </row>
    <row r="25" spans="1:12">
      <c r="A25" t="s">
        <v>65</v>
      </c>
      <c r="B25">
        <v>2.6579999999999999E-2</v>
      </c>
      <c r="C25">
        <v>1.107E-2</v>
      </c>
      <c r="D25" s="2">
        <v>1.43E-5</v>
      </c>
      <c r="E25" s="2">
        <v>8.0110000000000004E-5</v>
      </c>
      <c r="K25" t="str">
        <f t="shared" si="0"/>
        <v>sigmaI</v>
      </c>
      <c r="L25">
        <f t="shared" si="0"/>
        <v>2.6579999999999999E-2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11</v>
      </c>
      <c r="B30">
        <v>1.2460000000000001E-2</v>
      </c>
      <c r="C30">
        <v>0.12224</v>
      </c>
      <c r="D30">
        <v>0.26167000000000001</v>
      </c>
      <c r="E30">
        <v>0.46894000000000002</v>
      </c>
      <c r="F30">
        <v>0.8952</v>
      </c>
      <c r="K30" t="str">
        <f t="shared" ref="K30" si="1">CONCATENATE(A30,"_median")</f>
        <v>Tag_median</v>
      </c>
      <c r="L30">
        <f t="shared" ref="L30" si="2">D30</f>
        <v>0.26167000000000001</v>
      </c>
    </row>
    <row r="31" spans="1:12">
      <c r="A31" t="s">
        <v>12</v>
      </c>
      <c r="B31">
        <v>9.2219999999999993E-3</v>
      </c>
      <c r="C31">
        <v>8.8709999999999997E-2</v>
      </c>
      <c r="D31">
        <v>0.19051999999999999</v>
      </c>
      <c r="E31">
        <v>0.34864000000000001</v>
      </c>
      <c r="F31">
        <v>0.78276999999999997</v>
      </c>
      <c r="K31" t="str">
        <f t="shared" ref="K31:K37" si="3">CONCATENATE(A31,"_median")</f>
        <v>Tai_median</v>
      </c>
      <c r="L31">
        <f t="shared" ref="L31:L37" si="4">D31</f>
        <v>0.19051999999999999</v>
      </c>
    </row>
    <row r="32" spans="1:12">
      <c r="A32" t="s">
        <v>13</v>
      </c>
      <c r="B32">
        <v>3.4710000000000001E-3</v>
      </c>
      <c r="C32">
        <v>3.3849999999999998E-2</v>
      </c>
      <c r="D32">
        <v>7.2959999999999997E-2</v>
      </c>
      <c r="E32">
        <v>0.13225999999999999</v>
      </c>
      <c r="F32">
        <v>0.28055999999999998</v>
      </c>
      <c r="K32" t="str">
        <f t="shared" si="3"/>
        <v>Tga_median</v>
      </c>
      <c r="L32">
        <f t="shared" si="4"/>
        <v>7.2959999999999997E-2</v>
      </c>
    </row>
    <row r="33" spans="1:12">
      <c r="A33" t="s">
        <v>14</v>
      </c>
      <c r="B33">
        <v>5.6470000000000001E-3</v>
      </c>
      <c r="C33">
        <v>5.5660000000000001E-2</v>
      </c>
      <c r="D33">
        <v>0.11924999999999999</v>
      </c>
      <c r="E33">
        <v>0.21557000000000001</v>
      </c>
      <c r="F33">
        <v>0.49403000000000002</v>
      </c>
      <c r="K33" t="str">
        <f t="shared" si="3"/>
        <v>Tgi_median</v>
      </c>
      <c r="L33">
        <f t="shared" si="4"/>
        <v>0.11924999999999999</v>
      </c>
    </row>
    <row r="34" spans="1:12">
      <c r="A34" t="s">
        <v>15</v>
      </c>
      <c r="B34">
        <v>7.0759999999999998E-3</v>
      </c>
      <c r="C34">
        <v>5.5820000000000002E-2</v>
      </c>
      <c r="D34">
        <v>0.10876</v>
      </c>
      <c r="E34">
        <v>0.18536</v>
      </c>
      <c r="F34">
        <v>0.38796000000000003</v>
      </c>
      <c r="K34" t="str">
        <f t="shared" si="3"/>
        <v>Tia_median</v>
      </c>
      <c r="L34">
        <f t="shared" si="4"/>
        <v>0.10876</v>
      </c>
    </row>
    <row r="35" spans="1:12">
      <c r="A35" t="s">
        <v>16</v>
      </c>
      <c r="B35">
        <v>7.0899999999999999E-3</v>
      </c>
      <c r="C35">
        <v>7.5209999999999999E-2</v>
      </c>
      <c r="D35">
        <v>0.16807</v>
      </c>
      <c r="E35">
        <v>0.31768000000000002</v>
      </c>
      <c r="F35">
        <v>0.74797000000000002</v>
      </c>
      <c r="K35" t="str">
        <f t="shared" si="3"/>
        <v>Tig_median</v>
      </c>
      <c r="L35">
        <f t="shared" si="4"/>
        <v>0.16807</v>
      </c>
    </row>
    <row r="36" spans="1:12">
      <c r="A36" t="s">
        <v>64</v>
      </c>
      <c r="B36">
        <v>1.3424E-2</v>
      </c>
      <c r="C36">
        <v>1.9460000000000002E-2</v>
      </c>
      <c r="D36">
        <v>2.4420000000000001E-2</v>
      </c>
      <c r="E36">
        <v>3.1379999999999998E-2</v>
      </c>
      <c r="F36">
        <v>5.4760000000000003E-2</v>
      </c>
      <c r="K36" t="str">
        <f t="shared" si="3"/>
        <v>sigmaG_median</v>
      </c>
      <c r="L36">
        <f t="shared" si="4"/>
        <v>2.4420000000000001E-2</v>
      </c>
    </row>
    <row r="37" spans="1:12">
      <c r="A37" t="s">
        <v>65</v>
      </c>
      <c r="B37">
        <v>1.3289E-2</v>
      </c>
      <c r="C37">
        <v>1.9179999999999999E-2</v>
      </c>
      <c r="D37">
        <v>2.4080000000000001E-2</v>
      </c>
      <c r="E37">
        <v>3.1019999999999999E-2</v>
      </c>
      <c r="F37">
        <v>5.4519999999999999E-2</v>
      </c>
      <c r="K37" t="str">
        <f t="shared" si="3"/>
        <v>sigmaI_median</v>
      </c>
      <c r="L37">
        <f t="shared" si="4"/>
        <v>2.4080000000000001E-2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11</v>
      </c>
      <c r="B42">
        <v>1</v>
      </c>
      <c r="C42">
        <v>1</v>
      </c>
      <c r="K42" t="str">
        <f t="shared" ref="K42" si="5">CONCATENATE(A42,"_rhat")</f>
        <v>Tag_rhat</v>
      </c>
      <c r="L42">
        <f t="shared" ref="L42" si="6">B42</f>
        <v>1</v>
      </c>
    </row>
    <row r="43" spans="1:12">
      <c r="A43" t="s">
        <v>12</v>
      </c>
      <c r="B43">
        <v>1</v>
      </c>
      <c r="C43">
        <v>1</v>
      </c>
      <c r="K43" t="str">
        <f t="shared" ref="K43:K49" si="7">CONCATENATE(A43,"_rhat")</f>
        <v>Tai_rhat</v>
      </c>
      <c r="L43">
        <f t="shared" ref="L43:L49" si="8">B43</f>
        <v>1</v>
      </c>
    </row>
    <row r="44" spans="1:12">
      <c r="A44" t="s">
        <v>13</v>
      </c>
      <c r="B44">
        <v>1</v>
      </c>
      <c r="C44">
        <v>1</v>
      </c>
      <c r="K44" t="str">
        <f t="shared" si="7"/>
        <v>Tga_rhat</v>
      </c>
      <c r="L44">
        <f t="shared" si="8"/>
        <v>1</v>
      </c>
    </row>
    <row r="45" spans="1:12">
      <c r="A45" t="s">
        <v>14</v>
      </c>
      <c r="B45">
        <v>1</v>
      </c>
      <c r="C45">
        <v>1</v>
      </c>
      <c r="K45" t="str">
        <f t="shared" si="7"/>
        <v>Tgi_rhat</v>
      </c>
      <c r="L45">
        <f t="shared" si="8"/>
        <v>1</v>
      </c>
    </row>
    <row r="46" spans="1:12">
      <c r="A46" t="s">
        <v>15</v>
      </c>
      <c r="B46">
        <v>1</v>
      </c>
      <c r="C46">
        <v>1</v>
      </c>
      <c r="K46" t="str">
        <f t="shared" si="7"/>
        <v>Tia_rhat</v>
      </c>
      <c r="L46">
        <f t="shared" si="8"/>
        <v>1</v>
      </c>
    </row>
    <row r="47" spans="1:12">
      <c r="A47" t="s">
        <v>16</v>
      </c>
      <c r="B47">
        <v>1</v>
      </c>
      <c r="C47">
        <v>1</v>
      </c>
      <c r="K47" t="str">
        <f t="shared" si="7"/>
        <v>Tig_rhat</v>
      </c>
      <c r="L47">
        <f t="shared" si="8"/>
        <v>1</v>
      </c>
    </row>
    <row r="48" spans="1:12">
      <c r="A48" t="s">
        <v>64</v>
      </c>
      <c r="B48">
        <v>1</v>
      </c>
      <c r="C48">
        <v>1</v>
      </c>
      <c r="K48" t="str">
        <f t="shared" si="7"/>
        <v>sigmaG_rhat</v>
      </c>
      <c r="L48">
        <f t="shared" si="8"/>
        <v>1</v>
      </c>
    </row>
    <row r="49" spans="1:12">
      <c r="A49" t="s">
        <v>65</v>
      </c>
      <c r="B49">
        <v>1</v>
      </c>
      <c r="C49">
        <v>1</v>
      </c>
      <c r="K49" t="str">
        <f t="shared" si="7"/>
        <v>sigmaI_rhat</v>
      </c>
      <c r="L49">
        <f t="shared" si="8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>
      <c r="B55">
        <v>8828.4599999999991</v>
      </c>
      <c r="C55">
        <v>5330.1530000000002</v>
      </c>
      <c r="D55">
        <v>8934.4120000000003</v>
      </c>
      <c r="E55">
        <v>6122.4539999999997</v>
      </c>
      <c r="F55">
        <v>5446.7250000000004</v>
      </c>
      <c r="G55">
        <v>6551.2049999999999</v>
      </c>
      <c r="H55">
        <v>28591.164000000001</v>
      </c>
      <c r="I55">
        <v>19242.277999999998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L55"/>
  <sheetViews>
    <sheetView topLeftCell="A31" workbookViewId="0">
      <selection activeCell="K55" sqref="K55:L63"/>
    </sheetView>
  </sheetViews>
  <sheetFormatPr defaultRowHeight="1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8" bestFit="1" customWidth="1"/>
    <col min="8" max="9" width="10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1981</v>
      </c>
      <c r="K4" t="s">
        <v>84</v>
      </c>
      <c r="L4">
        <f>B4</f>
        <v>1981</v>
      </c>
    </row>
    <row r="5" spans="1:12">
      <c r="A5" t="s">
        <v>30</v>
      </c>
      <c r="B5" t="s">
        <v>31</v>
      </c>
      <c r="C5">
        <v>-76.739999999999995</v>
      </c>
      <c r="K5" t="s">
        <v>78</v>
      </c>
      <c r="L5">
        <f>C5</f>
        <v>-76.739999999999995</v>
      </c>
    </row>
    <row r="6" spans="1:12">
      <c r="A6" t="s">
        <v>32</v>
      </c>
      <c r="B6">
        <v>10.86</v>
      </c>
      <c r="K6" t="s">
        <v>79</v>
      </c>
      <c r="L6">
        <f>B6</f>
        <v>10.86</v>
      </c>
    </row>
    <row r="7" spans="1:12">
      <c r="A7" t="s">
        <v>33</v>
      </c>
      <c r="B7" t="s">
        <v>31</v>
      </c>
      <c r="C7">
        <v>-65.88</v>
      </c>
      <c r="K7" t="s">
        <v>80</v>
      </c>
      <c r="L7">
        <f>C7</f>
        <v>-65.88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0.18911</v>
      </c>
      <c r="C18">
        <v>0.17651</v>
      </c>
      <c r="D18" s="2">
        <v>2.2790000000000001E-4</v>
      </c>
      <c r="E18" s="2">
        <v>1.805E-3</v>
      </c>
      <c r="K18" t="str">
        <f>A18</f>
        <v>Tag</v>
      </c>
      <c r="L18">
        <f>B18</f>
        <v>0.18911</v>
      </c>
    </row>
    <row r="19" spans="1:12">
      <c r="A19" t="s">
        <v>12</v>
      </c>
      <c r="B19">
        <v>0.14799000000000001</v>
      </c>
      <c r="C19">
        <v>0.14421</v>
      </c>
      <c r="D19" s="2">
        <v>1.862E-4</v>
      </c>
      <c r="E19" s="2">
        <v>1.635E-3</v>
      </c>
      <c r="K19" t="str">
        <f t="shared" ref="K19:L25" si="0">A19</f>
        <v>Tai</v>
      </c>
      <c r="L19">
        <f t="shared" si="0"/>
        <v>0.14799000000000001</v>
      </c>
    </row>
    <row r="20" spans="1:12">
      <c r="A20" t="s">
        <v>13</v>
      </c>
      <c r="B20">
        <v>8.1059999999999993E-2</v>
      </c>
      <c r="C20">
        <v>7.4219999999999994E-2</v>
      </c>
      <c r="D20" s="2">
        <v>9.5820000000000001E-5</v>
      </c>
      <c r="E20" s="2">
        <v>7.5270000000000003E-4</v>
      </c>
      <c r="K20" t="str">
        <f t="shared" si="0"/>
        <v>Tga</v>
      </c>
      <c r="L20">
        <f t="shared" si="0"/>
        <v>8.1059999999999993E-2</v>
      </c>
    </row>
    <row r="21" spans="1:12">
      <c r="A21" t="s">
        <v>14</v>
      </c>
      <c r="B21">
        <v>0.18395</v>
      </c>
      <c r="C21">
        <v>0.15340000000000001</v>
      </c>
      <c r="D21" s="2">
        <v>1.9799999999999999E-4</v>
      </c>
      <c r="E21" s="2">
        <v>2.47E-3</v>
      </c>
      <c r="K21" t="str">
        <f t="shared" si="0"/>
        <v>Tgi</v>
      </c>
      <c r="L21">
        <f t="shared" si="0"/>
        <v>0.18395</v>
      </c>
    </row>
    <row r="22" spans="1:12">
      <c r="A22" t="s">
        <v>15</v>
      </c>
      <c r="B22">
        <v>0.1012</v>
      </c>
      <c r="C22">
        <v>8.4610000000000005E-2</v>
      </c>
      <c r="D22" s="2">
        <v>1.092E-4</v>
      </c>
      <c r="E22" s="2">
        <v>9.9719999999999995E-4</v>
      </c>
      <c r="K22" t="str">
        <f t="shared" si="0"/>
        <v>Tia</v>
      </c>
      <c r="L22">
        <f t="shared" si="0"/>
        <v>0.1012</v>
      </c>
    </row>
    <row r="23" spans="1:12">
      <c r="A23" t="s">
        <v>16</v>
      </c>
      <c r="B23">
        <v>0.22175</v>
      </c>
      <c r="C23">
        <v>0.19034000000000001</v>
      </c>
      <c r="D23" s="2">
        <v>2.4570000000000001E-4</v>
      </c>
      <c r="E23" s="2">
        <v>3.0469999999999998E-3</v>
      </c>
      <c r="K23" t="str">
        <f t="shared" si="0"/>
        <v>Tig</v>
      </c>
      <c r="L23">
        <f t="shared" si="0"/>
        <v>0.22175</v>
      </c>
    </row>
    <row r="24" spans="1:12">
      <c r="A24" t="s">
        <v>64</v>
      </c>
      <c r="B24">
        <v>2.6409999999999999E-2</v>
      </c>
      <c r="C24">
        <v>1.196E-2</v>
      </c>
      <c r="D24" s="2">
        <v>1.5440000000000001E-5</v>
      </c>
      <c r="E24" s="2">
        <v>8.4850000000000002E-5</v>
      </c>
      <c r="K24" t="str">
        <f t="shared" si="0"/>
        <v>sigmaG</v>
      </c>
      <c r="L24">
        <f t="shared" si="0"/>
        <v>2.6409999999999999E-2</v>
      </c>
    </row>
    <row r="25" spans="1:12">
      <c r="A25" t="s">
        <v>65</v>
      </c>
      <c r="B25">
        <v>2.46E-2</v>
      </c>
      <c r="C25">
        <v>1.158E-2</v>
      </c>
      <c r="D25" s="2">
        <v>1.4949999999999999E-5</v>
      </c>
      <c r="E25" s="2">
        <v>1.005E-4</v>
      </c>
      <c r="K25" t="str">
        <f t="shared" si="0"/>
        <v>sigmaI</v>
      </c>
      <c r="L25">
        <f t="shared" si="0"/>
        <v>2.46E-2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11</v>
      </c>
      <c r="B30">
        <v>5.5779999999999996E-3</v>
      </c>
      <c r="C30">
        <v>5.9749999999999998E-2</v>
      </c>
      <c r="D30">
        <v>0.13655</v>
      </c>
      <c r="E30">
        <v>0.26279999999999998</v>
      </c>
      <c r="F30">
        <v>0.67908000000000002</v>
      </c>
      <c r="K30" t="str">
        <f t="shared" ref="K30:K37" si="1">CONCATENATE(A30,"_median")</f>
        <v>Tag_median</v>
      </c>
      <c r="L30">
        <f t="shared" ref="L30:L37" si="2">D30</f>
        <v>0.13655</v>
      </c>
    </row>
    <row r="31" spans="1:12">
      <c r="A31" t="s">
        <v>12</v>
      </c>
      <c r="B31">
        <v>4.3680000000000004E-3</v>
      </c>
      <c r="C31">
        <v>4.6530000000000002E-2</v>
      </c>
      <c r="D31">
        <v>0.10525</v>
      </c>
      <c r="E31">
        <v>0.20208999999999999</v>
      </c>
      <c r="F31">
        <v>0.54744999999999999</v>
      </c>
      <c r="K31" t="str">
        <f t="shared" si="1"/>
        <v>Tai_median</v>
      </c>
      <c r="L31">
        <f t="shared" si="2"/>
        <v>0.10525</v>
      </c>
    </row>
    <row r="32" spans="1:12">
      <c r="A32" t="s">
        <v>13</v>
      </c>
      <c r="B32">
        <v>2.8349999999999998E-3</v>
      </c>
      <c r="C32">
        <v>2.8049999999999999E-2</v>
      </c>
      <c r="D32">
        <v>6.0060000000000002E-2</v>
      </c>
      <c r="E32">
        <v>0.11075</v>
      </c>
      <c r="F32">
        <v>0.28292</v>
      </c>
      <c r="K32" t="str">
        <f t="shared" si="1"/>
        <v>Tga_median</v>
      </c>
      <c r="L32">
        <f t="shared" si="2"/>
        <v>6.0060000000000002E-2</v>
      </c>
    </row>
    <row r="33" spans="1:12">
      <c r="A33" t="s">
        <v>14</v>
      </c>
      <c r="B33">
        <v>7.8609999999999999E-3</v>
      </c>
      <c r="C33">
        <v>7.0120000000000002E-2</v>
      </c>
      <c r="D33">
        <v>0.14371999999999999</v>
      </c>
      <c r="E33">
        <v>0.25494</v>
      </c>
      <c r="F33">
        <v>0.58875</v>
      </c>
      <c r="K33" t="str">
        <f t="shared" si="1"/>
        <v>Tgi_median</v>
      </c>
      <c r="L33">
        <f t="shared" si="2"/>
        <v>0.14371999999999999</v>
      </c>
    </row>
    <row r="34" spans="1:12">
      <c r="A34" t="s">
        <v>15</v>
      </c>
      <c r="B34">
        <v>5.4559999999999999E-3</v>
      </c>
      <c r="C34">
        <v>4.2389999999999997E-2</v>
      </c>
      <c r="D34">
        <v>8.022E-2</v>
      </c>
      <c r="E34">
        <v>0.13547999999999999</v>
      </c>
      <c r="F34">
        <v>0.32550000000000001</v>
      </c>
      <c r="K34" t="str">
        <f t="shared" si="1"/>
        <v>Tia_median</v>
      </c>
      <c r="L34">
        <f t="shared" si="2"/>
        <v>8.022E-2</v>
      </c>
    </row>
    <row r="35" spans="1:12">
      <c r="A35" t="s">
        <v>16</v>
      </c>
      <c r="B35">
        <v>7.979E-3</v>
      </c>
      <c r="C35">
        <v>7.8060000000000004E-2</v>
      </c>
      <c r="D35">
        <v>0.16886000000000001</v>
      </c>
      <c r="E35">
        <v>0.31156</v>
      </c>
      <c r="F35">
        <v>0.73023000000000005</v>
      </c>
      <c r="K35" t="str">
        <f t="shared" si="1"/>
        <v>Tig_median</v>
      </c>
      <c r="L35">
        <f t="shared" si="2"/>
        <v>0.16886000000000001</v>
      </c>
    </row>
    <row r="36" spans="1:12">
      <c r="A36" t="s">
        <v>64</v>
      </c>
      <c r="B36">
        <v>1.259E-2</v>
      </c>
      <c r="C36">
        <v>1.848E-2</v>
      </c>
      <c r="D36">
        <v>2.3550000000000001E-2</v>
      </c>
      <c r="E36">
        <v>3.1E-2</v>
      </c>
      <c r="F36">
        <v>5.6950000000000001E-2</v>
      </c>
      <c r="K36" t="str">
        <f t="shared" si="1"/>
        <v>sigmaG_median</v>
      </c>
      <c r="L36">
        <f t="shared" si="2"/>
        <v>2.3550000000000001E-2</v>
      </c>
    </row>
    <row r="37" spans="1:12">
      <c r="A37" t="s">
        <v>65</v>
      </c>
      <c r="B37">
        <v>1.1686999999999999E-2</v>
      </c>
      <c r="C37">
        <v>1.7100000000000001E-2</v>
      </c>
      <c r="D37">
        <v>2.1760000000000002E-2</v>
      </c>
      <c r="E37">
        <v>2.8740000000000002E-2</v>
      </c>
      <c r="F37">
        <v>5.4280000000000002E-2</v>
      </c>
      <c r="K37" t="str">
        <f t="shared" si="1"/>
        <v>sigmaI_median</v>
      </c>
      <c r="L37">
        <f t="shared" si="2"/>
        <v>2.1760000000000002E-2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>
      <c r="B55">
        <v>9616.0229999999992</v>
      </c>
      <c r="C55">
        <v>7855.3379999999997</v>
      </c>
      <c r="D55">
        <v>9771.5429999999997</v>
      </c>
      <c r="E55">
        <v>3910.4229999999998</v>
      </c>
      <c r="F55">
        <v>7473.2790000000005</v>
      </c>
      <c r="G55">
        <v>3954.71</v>
      </c>
      <c r="H55">
        <v>20015.867999999999</v>
      </c>
      <c r="I55">
        <v>13934.200999999999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L55"/>
  <sheetViews>
    <sheetView topLeftCell="A28" workbookViewId="0">
      <selection activeCell="K55" sqref="K55:L63"/>
    </sheetView>
  </sheetViews>
  <sheetFormatPr defaultRowHeight="1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8" width="10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1982</v>
      </c>
      <c r="K4" t="s">
        <v>84</v>
      </c>
      <c r="L4">
        <f>B4</f>
        <v>1982</v>
      </c>
    </row>
    <row r="5" spans="1:12">
      <c r="A5" t="s">
        <v>30</v>
      </c>
      <c r="B5" t="s">
        <v>31</v>
      </c>
      <c r="C5">
        <v>-62.63</v>
      </c>
      <c r="K5" t="s">
        <v>78</v>
      </c>
      <c r="L5">
        <f>C5</f>
        <v>-62.63</v>
      </c>
    </row>
    <row r="6" spans="1:12">
      <c r="A6" t="s">
        <v>32</v>
      </c>
      <c r="B6">
        <v>9.9730000000000008</v>
      </c>
      <c r="K6" t="s">
        <v>79</v>
      </c>
      <c r="L6">
        <f>B6</f>
        <v>9.9730000000000008</v>
      </c>
    </row>
    <row r="7" spans="1:12">
      <c r="A7" t="s">
        <v>33</v>
      </c>
      <c r="B7" t="s">
        <v>31</v>
      </c>
      <c r="C7">
        <v>-52.65</v>
      </c>
      <c r="K7" t="s">
        <v>80</v>
      </c>
      <c r="L7">
        <f>C7</f>
        <v>-52.65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0.24263999999999999</v>
      </c>
      <c r="C18">
        <v>0.20566000000000001</v>
      </c>
      <c r="D18" s="2">
        <v>2.655E-4</v>
      </c>
      <c r="E18" s="2">
        <v>1.3879999999999999E-3</v>
      </c>
      <c r="K18" t="str">
        <f>A18</f>
        <v>Tag</v>
      </c>
      <c r="L18">
        <f>B18</f>
        <v>0.24263999999999999</v>
      </c>
    </row>
    <row r="19" spans="1:12">
      <c r="A19" t="s">
        <v>12</v>
      </c>
      <c r="B19">
        <v>0.21969</v>
      </c>
      <c r="C19">
        <v>0.18848999999999999</v>
      </c>
      <c r="D19" s="2">
        <v>2.433E-4</v>
      </c>
      <c r="E19" s="2">
        <v>2.0579999999999999E-3</v>
      </c>
      <c r="K19" t="str">
        <f t="shared" ref="K19:L25" si="0">A19</f>
        <v>Tai</v>
      </c>
      <c r="L19">
        <f t="shared" si="0"/>
        <v>0.21969</v>
      </c>
    </row>
    <row r="20" spans="1:12">
      <c r="A20" t="s">
        <v>13</v>
      </c>
      <c r="B20">
        <v>8.8450000000000001E-2</v>
      </c>
      <c r="C20">
        <v>7.9119999999999996E-2</v>
      </c>
      <c r="D20" s="2">
        <v>1.021E-4</v>
      </c>
      <c r="E20" s="2">
        <v>4.9910000000000004E-4</v>
      </c>
      <c r="K20" t="str">
        <f t="shared" si="0"/>
        <v>Tga</v>
      </c>
      <c r="L20">
        <f t="shared" si="0"/>
        <v>8.8450000000000001E-2</v>
      </c>
    </row>
    <row r="21" spans="1:12">
      <c r="A21" t="s">
        <v>14</v>
      </c>
      <c r="B21">
        <v>0.18994</v>
      </c>
      <c r="C21">
        <v>0.16003999999999999</v>
      </c>
      <c r="D21" s="2">
        <v>2.0660000000000001E-4</v>
      </c>
      <c r="E21" s="2">
        <v>1.766E-3</v>
      </c>
      <c r="K21" t="str">
        <f t="shared" si="0"/>
        <v>Tgi</v>
      </c>
      <c r="L21">
        <f t="shared" si="0"/>
        <v>0.18994</v>
      </c>
    </row>
    <row r="22" spans="1:12">
      <c r="A22" t="s">
        <v>15</v>
      </c>
      <c r="B22">
        <v>0.14574000000000001</v>
      </c>
      <c r="C22">
        <v>9.6339999999999995E-2</v>
      </c>
      <c r="D22" s="2">
        <v>1.2439999999999999E-4</v>
      </c>
      <c r="E22" s="2">
        <v>1.0169999999999999E-3</v>
      </c>
      <c r="K22" t="str">
        <f t="shared" si="0"/>
        <v>Tia</v>
      </c>
      <c r="L22">
        <f t="shared" si="0"/>
        <v>0.14574000000000001</v>
      </c>
    </row>
    <row r="23" spans="1:12">
      <c r="A23" t="s">
        <v>16</v>
      </c>
      <c r="B23">
        <v>0.18540000000000001</v>
      </c>
      <c r="C23">
        <v>0.16971</v>
      </c>
      <c r="D23" s="2">
        <v>2.1910000000000001E-4</v>
      </c>
      <c r="E23" s="2">
        <v>1.769E-3</v>
      </c>
      <c r="K23" t="str">
        <f t="shared" si="0"/>
        <v>Tig</v>
      </c>
      <c r="L23">
        <f t="shared" si="0"/>
        <v>0.18540000000000001</v>
      </c>
    </row>
    <row r="24" spans="1:12">
      <c r="A24" t="s">
        <v>64</v>
      </c>
      <c r="B24">
        <v>5.1020000000000003E-2</v>
      </c>
      <c r="C24">
        <v>2.196E-2</v>
      </c>
      <c r="D24" s="2">
        <v>2.8350000000000001E-5</v>
      </c>
      <c r="E24" s="2">
        <v>1.048E-4</v>
      </c>
      <c r="K24" t="str">
        <f t="shared" si="0"/>
        <v>sigmaG</v>
      </c>
      <c r="L24">
        <f t="shared" si="0"/>
        <v>5.1020000000000003E-2</v>
      </c>
    </row>
    <row r="25" spans="1:12">
      <c r="A25" t="s">
        <v>65</v>
      </c>
      <c r="B25">
        <v>3.0419999999999999E-2</v>
      </c>
      <c r="C25">
        <v>1.312E-2</v>
      </c>
      <c r="D25" s="2">
        <v>1.6929999999999999E-5</v>
      </c>
      <c r="E25" s="2">
        <v>8.9209999999999995E-5</v>
      </c>
      <c r="K25" t="str">
        <f t="shared" si="0"/>
        <v>sigmaI</v>
      </c>
      <c r="L25">
        <f t="shared" si="0"/>
        <v>3.0419999999999999E-2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11</v>
      </c>
      <c r="B30">
        <v>8.2660000000000008E-3</v>
      </c>
      <c r="C30">
        <v>8.4779999999999994E-2</v>
      </c>
      <c r="D30">
        <v>0.18657000000000001</v>
      </c>
      <c r="E30">
        <v>0.34439999999999998</v>
      </c>
      <c r="F30">
        <v>0.78959999999999997</v>
      </c>
      <c r="K30" t="str">
        <f t="shared" ref="K30:K37" si="1">CONCATENATE(A30,"_median")</f>
        <v>Tag_median</v>
      </c>
      <c r="L30">
        <f t="shared" ref="L30:L37" si="2">D30</f>
        <v>0.18657000000000001</v>
      </c>
    </row>
    <row r="31" spans="1:12">
      <c r="A31" t="s">
        <v>12</v>
      </c>
      <c r="B31">
        <v>7.6189999999999999E-3</v>
      </c>
      <c r="C31">
        <v>7.7280000000000001E-2</v>
      </c>
      <c r="D31">
        <v>0.16902</v>
      </c>
      <c r="E31">
        <v>0.30808000000000002</v>
      </c>
      <c r="F31">
        <v>0.72607999999999995</v>
      </c>
      <c r="K31" t="str">
        <f t="shared" si="1"/>
        <v>Tai_median</v>
      </c>
      <c r="L31">
        <f t="shared" si="2"/>
        <v>0.16902</v>
      </c>
    </row>
    <row r="32" spans="1:12">
      <c r="A32" t="s">
        <v>13</v>
      </c>
      <c r="B32">
        <v>2.9650000000000002E-3</v>
      </c>
      <c r="C32">
        <v>3.0339999999999999E-2</v>
      </c>
      <c r="D32">
        <v>6.6420000000000007E-2</v>
      </c>
      <c r="E32">
        <v>0.12303</v>
      </c>
      <c r="F32">
        <v>0.29860999999999999</v>
      </c>
      <c r="K32" t="str">
        <f t="shared" si="1"/>
        <v>Tga_median</v>
      </c>
      <c r="L32">
        <f t="shared" si="2"/>
        <v>6.6420000000000007E-2</v>
      </c>
    </row>
    <row r="33" spans="1:12">
      <c r="A33" t="s">
        <v>14</v>
      </c>
      <c r="B33">
        <v>7.3220000000000004E-3</v>
      </c>
      <c r="C33">
        <v>7.0809999999999998E-2</v>
      </c>
      <c r="D33">
        <v>0.14871999999999999</v>
      </c>
      <c r="E33">
        <v>0.26404</v>
      </c>
      <c r="F33">
        <v>0.61575000000000002</v>
      </c>
      <c r="K33" t="str">
        <f t="shared" si="1"/>
        <v>Tgi_median</v>
      </c>
      <c r="L33">
        <f t="shared" si="2"/>
        <v>0.14871999999999999</v>
      </c>
    </row>
    <row r="34" spans="1:12">
      <c r="A34" t="s">
        <v>15</v>
      </c>
      <c r="B34">
        <v>1.4749E-2</v>
      </c>
      <c r="C34">
        <v>7.5740000000000002E-2</v>
      </c>
      <c r="D34">
        <v>0.12676999999999999</v>
      </c>
      <c r="E34">
        <v>0.19485</v>
      </c>
      <c r="F34">
        <v>0.38685000000000003</v>
      </c>
      <c r="K34" t="str">
        <f t="shared" si="1"/>
        <v>Tia_median</v>
      </c>
      <c r="L34">
        <f t="shared" si="2"/>
        <v>0.12676999999999999</v>
      </c>
    </row>
    <row r="35" spans="1:12">
      <c r="A35" t="s">
        <v>16</v>
      </c>
      <c r="B35">
        <v>5.5319999999999996E-3</v>
      </c>
      <c r="C35">
        <v>5.96E-2</v>
      </c>
      <c r="D35">
        <v>0.13622999999999999</v>
      </c>
      <c r="E35">
        <v>0.25928000000000001</v>
      </c>
      <c r="F35">
        <v>0.64534999999999998</v>
      </c>
      <c r="K35" t="str">
        <f t="shared" si="1"/>
        <v>Tig_median</v>
      </c>
      <c r="L35">
        <f t="shared" si="2"/>
        <v>0.13622999999999999</v>
      </c>
    </row>
    <row r="36" spans="1:12">
      <c r="A36" t="s">
        <v>64</v>
      </c>
      <c r="B36">
        <v>2.4910999999999999E-2</v>
      </c>
      <c r="C36">
        <v>3.6339999999999997E-2</v>
      </c>
      <c r="D36">
        <v>4.5999999999999999E-2</v>
      </c>
      <c r="E36">
        <v>5.9799999999999999E-2</v>
      </c>
      <c r="F36">
        <v>0.10661</v>
      </c>
      <c r="K36" t="str">
        <f t="shared" si="1"/>
        <v>sigmaG_median</v>
      </c>
      <c r="L36">
        <f t="shared" si="2"/>
        <v>4.5999999999999999E-2</v>
      </c>
    </row>
    <row r="37" spans="1:12">
      <c r="A37" t="s">
        <v>65</v>
      </c>
      <c r="B37">
        <v>1.4912E-2</v>
      </c>
      <c r="C37">
        <v>2.164E-2</v>
      </c>
      <c r="D37">
        <v>2.7349999999999999E-2</v>
      </c>
      <c r="E37">
        <v>3.5610000000000003E-2</v>
      </c>
      <c r="F37">
        <v>6.3920000000000005E-2</v>
      </c>
      <c r="K37" t="str">
        <f t="shared" si="1"/>
        <v>sigmaI_median</v>
      </c>
      <c r="L37">
        <f t="shared" si="2"/>
        <v>2.7349999999999999E-2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>
      <c r="A55">
        <v>22049.257000000001</v>
      </c>
      <c r="B55">
        <v>8435.4609999999993</v>
      </c>
      <c r="C55">
        <v>25248.271000000001</v>
      </c>
      <c r="D55">
        <v>8262.2690000000002</v>
      </c>
      <c r="E55">
        <v>9026.1450000000004</v>
      </c>
      <c r="F55">
        <v>9266.0869999999995</v>
      </c>
      <c r="G55">
        <v>44008.542999999998</v>
      </c>
      <c r="H55">
        <v>21794.958999999999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dimension ref="A1:L57"/>
  <sheetViews>
    <sheetView topLeftCell="A34" workbookViewId="0">
      <selection activeCell="K55" sqref="K55:L63"/>
    </sheetView>
  </sheetViews>
  <sheetFormatPr defaultRowHeight="1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8" width="7.42578125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1983</v>
      </c>
      <c r="K4" t="s">
        <v>84</v>
      </c>
      <c r="L4">
        <f>B4</f>
        <v>1983</v>
      </c>
    </row>
    <row r="5" spans="1:12">
      <c r="A5" t="s">
        <v>30</v>
      </c>
      <c r="B5" t="s">
        <v>31</v>
      </c>
      <c r="C5">
        <v>-57.75</v>
      </c>
      <c r="K5" t="s">
        <v>78</v>
      </c>
      <c r="L5">
        <f>C5</f>
        <v>-57.75</v>
      </c>
    </row>
    <row r="6" spans="1:12">
      <c r="A6" t="s">
        <v>32</v>
      </c>
      <c r="B6">
        <v>10.33</v>
      </c>
      <c r="K6" t="s">
        <v>79</v>
      </c>
      <c r="L6">
        <f>B6</f>
        <v>10.33</v>
      </c>
    </row>
    <row r="7" spans="1:12">
      <c r="A7" t="s">
        <v>33</v>
      </c>
      <c r="B7" t="s">
        <v>31</v>
      </c>
      <c r="C7">
        <v>-47.42</v>
      </c>
      <c r="K7" t="s">
        <v>80</v>
      </c>
      <c r="L7">
        <f>C7</f>
        <v>-47.42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0.13791999999999999</v>
      </c>
      <c r="C18">
        <v>0.14538999999999999</v>
      </c>
      <c r="D18" s="2">
        <v>1.8770000000000001E-4</v>
      </c>
      <c r="E18" s="2">
        <v>8.987E-4</v>
      </c>
      <c r="K18" t="str">
        <f>A18</f>
        <v>Tag</v>
      </c>
      <c r="L18">
        <f>B18</f>
        <v>0.13791999999999999</v>
      </c>
    </row>
    <row r="19" spans="1:12">
      <c r="A19" t="s">
        <v>12</v>
      </c>
      <c r="B19">
        <v>0.27654000000000001</v>
      </c>
      <c r="C19">
        <v>0.21853</v>
      </c>
      <c r="D19" s="2">
        <v>2.8210000000000003E-4</v>
      </c>
      <c r="E19" s="2">
        <v>2.117E-3</v>
      </c>
      <c r="K19" t="str">
        <f t="shared" ref="K19:L25" si="0">A19</f>
        <v>Tai</v>
      </c>
      <c r="L19">
        <f t="shared" si="0"/>
        <v>0.27654000000000001</v>
      </c>
    </row>
    <row r="20" spans="1:12">
      <c r="A20" t="s">
        <v>13</v>
      </c>
      <c r="B20">
        <v>6.3960000000000003E-2</v>
      </c>
      <c r="C20">
        <v>6.0199999999999997E-2</v>
      </c>
      <c r="D20" s="2">
        <v>7.771E-5</v>
      </c>
      <c r="E20" s="2">
        <v>3.1100000000000002E-4</v>
      </c>
      <c r="K20" t="str">
        <f t="shared" si="0"/>
        <v>Tga</v>
      </c>
      <c r="L20">
        <f t="shared" si="0"/>
        <v>6.3960000000000003E-2</v>
      </c>
    </row>
    <row r="21" spans="1:12">
      <c r="A21" t="s">
        <v>14</v>
      </c>
      <c r="B21">
        <v>0.14213000000000001</v>
      </c>
      <c r="C21">
        <v>0.11652999999999999</v>
      </c>
      <c r="D21" s="2">
        <v>1.504E-4</v>
      </c>
      <c r="E21" s="2">
        <v>8.5519999999999997E-4</v>
      </c>
      <c r="K21" t="str">
        <f t="shared" si="0"/>
        <v>Tgi</v>
      </c>
      <c r="L21">
        <f t="shared" si="0"/>
        <v>0.14213000000000001</v>
      </c>
    </row>
    <row r="22" spans="1:12">
      <c r="A22" t="s">
        <v>15</v>
      </c>
      <c r="B22">
        <v>0.18115000000000001</v>
      </c>
      <c r="C22">
        <v>0.1157</v>
      </c>
      <c r="D22" s="2">
        <v>1.494E-4</v>
      </c>
      <c r="E22" s="2">
        <v>1.1329999999999999E-3</v>
      </c>
      <c r="K22" t="str">
        <f t="shared" si="0"/>
        <v>Tia</v>
      </c>
      <c r="L22">
        <f t="shared" si="0"/>
        <v>0.18115000000000001</v>
      </c>
    </row>
    <row r="23" spans="1:12">
      <c r="A23" t="s">
        <v>16</v>
      </c>
      <c r="B23">
        <v>8.1689999999999999E-2</v>
      </c>
      <c r="C23">
        <v>8.4930000000000005E-2</v>
      </c>
      <c r="D23" s="2">
        <v>1.0959999999999999E-4</v>
      </c>
      <c r="E23" s="2">
        <v>5.0370000000000005E-4</v>
      </c>
      <c r="K23" t="str">
        <f t="shared" si="0"/>
        <v>Tig</v>
      </c>
      <c r="L23">
        <f t="shared" si="0"/>
        <v>8.1689999999999999E-2</v>
      </c>
    </row>
    <row r="24" spans="1:12">
      <c r="A24" t="s">
        <v>64</v>
      </c>
      <c r="B24">
        <v>5.0860000000000002E-2</v>
      </c>
      <c r="C24">
        <v>2.41E-2</v>
      </c>
      <c r="D24" s="2">
        <v>3.1109999999999999E-5</v>
      </c>
      <c r="E24" s="2">
        <v>1.193E-4</v>
      </c>
      <c r="K24" t="str">
        <f t="shared" si="0"/>
        <v>sigmaG</v>
      </c>
      <c r="L24">
        <f t="shared" si="0"/>
        <v>5.0860000000000002E-2</v>
      </c>
    </row>
    <row r="25" spans="1:12">
      <c r="A25" t="s">
        <v>65</v>
      </c>
      <c r="B25">
        <v>4.1110000000000001E-2</v>
      </c>
      <c r="C25">
        <v>1.6740000000000001E-2</v>
      </c>
      <c r="D25" s="2">
        <v>2.162E-5</v>
      </c>
      <c r="E25" s="2">
        <v>7.839E-5</v>
      </c>
      <c r="K25" t="str">
        <f t="shared" si="0"/>
        <v>sigmaI</v>
      </c>
      <c r="L25">
        <f t="shared" si="0"/>
        <v>4.1110000000000001E-2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11</v>
      </c>
      <c r="B30">
        <v>3.3080000000000002E-3</v>
      </c>
      <c r="C30">
        <v>3.7479999999999999E-2</v>
      </c>
      <c r="D30">
        <v>9.1039999999999996E-2</v>
      </c>
      <c r="E30">
        <v>0.18629000000000001</v>
      </c>
      <c r="F30">
        <v>0.54966000000000004</v>
      </c>
      <c r="K30" t="str">
        <f t="shared" ref="K30:K37" si="1">CONCATENATE(A30,"_median")</f>
        <v>Tag_median</v>
      </c>
      <c r="L30">
        <f t="shared" ref="L30:L37" si="2">D30</f>
        <v>9.1039999999999996E-2</v>
      </c>
    </row>
    <row r="31" spans="1:12">
      <c r="A31" t="s">
        <v>12</v>
      </c>
      <c r="B31">
        <v>1.0996000000000001E-2</v>
      </c>
      <c r="C31">
        <v>0.10468</v>
      </c>
      <c r="D31">
        <v>0.22247</v>
      </c>
      <c r="E31">
        <v>0.3967</v>
      </c>
      <c r="F31">
        <v>0.83008999999999999</v>
      </c>
      <c r="K31" t="str">
        <f t="shared" si="1"/>
        <v>Tai_median</v>
      </c>
      <c r="L31">
        <f t="shared" si="2"/>
        <v>0.22247</v>
      </c>
    </row>
    <row r="32" spans="1:12">
      <c r="A32" t="s">
        <v>13</v>
      </c>
      <c r="B32">
        <v>2.0720000000000001E-3</v>
      </c>
      <c r="C32">
        <v>2.181E-2</v>
      </c>
      <c r="D32">
        <v>4.7759999999999997E-2</v>
      </c>
      <c r="E32">
        <v>8.6639999999999995E-2</v>
      </c>
      <c r="F32">
        <v>0.22617999999999999</v>
      </c>
      <c r="K32" t="str">
        <f t="shared" si="1"/>
        <v>Tga_median</v>
      </c>
      <c r="L32">
        <f t="shared" si="2"/>
        <v>4.7759999999999997E-2</v>
      </c>
    </row>
    <row r="33" spans="1:12">
      <c r="A33" t="s">
        <v>14</v>
      </c>
      <c r="B33">
        <v>6.3550000000000004E-3</v>
      </c>
      <c r="C33">
        <v>5.8430000000000003E-2</v>
      </c>
      <c r="D33">
        <v>0.11516</v>
      </c>
      <c r="E33">
        <v>0.19367000000000001</v>
      </c>
      <c r="F33">
        <v>0.44140000000000001</v>
      </c>
      <c r="K33" t="str">
        <f t="shared" si="1"/>
        <v>Tgi_median</v>
      </c>
      <c r="L33">
        <f t="shared" si="2"/>
        <v>0.11516</v>
      </c>
    </row>
    <row r="34" spans="1:12">
      <c r="A34" t="s">
        <v>15</v>
      </c>
      <c r="B34">
        <v>1.9796000000000001E-2</v>
      </c>
      <c r="C34">
        <v>9.4320000000000001E-2</v>
      </c>
      <c r="D34">
        <v>0.15864</v>
      </c>
      <c r="E34">
        <v>0.24529999999999999</v>
      </c>
      <c r="F34">
        <v>0.46261000000000002</v>
      </c>
      <c r="K34" t="str">
        <f t="shared" si="1"/>
        <v>Tia_median</v>
      </c>
      <c r="L34">
        <f t="shared" si="2"/>
        <v>0.15864</v>
      </c>
    </row>
    <row r="35" spans="1:12">
      <c r="A35" t="s">
        <v>16</v>
      </c>
      <c r="B35">
        <v>2.0400000000000001E-3</v>
      </c>
      <c r="C35">
        <v>2.298E-2</v>
      </c>
      <c r="D35">
        <v>5.5449999999999999E-2</v>
      </c>
      <c r="E35">
        <v>0.11161</v>
      </c>
      <c r="F35">
        <v>0.31131999999999999</v>
      </c>
      <c r="K35" t="str">
        <f t="shared" si="1"/>
        <v>Tig_median</v>
      </c>
      <c r="L35">
        <f t="shared" si="2"/>
        <v>5.5449999999999999E-2</v>
      </c>
    </row>
    <row r="36" spans="1:12">
      <c r="A36" t="s">
        <v>64</v>
      </c>
      <c r="B36">
        <v>2.3375E-2</v>
      </c>
      <c r="C36">
        <v>3.49E-2</v>
      </c>
      <c r="D36">
        <v>4.4929999999999998E-2</v>
      </c>
      <c r="E36">
        <v>5.9909999999999998E-2</v>
      </c>
      <c r="F36">
        <v>0.11333</v>
      </c>
      <c r="K36" t="str">
        <f t="shared" si="1"/>
        <v>sigmaG_median</v>
      </c>
      <c r="L36">
        <f t="shared" si="2"/>
        <v>4.4929999999999998E-2</v>
      </c>
    </row>
    <row r="37" spans="1:12">
      <c r="A37" t="s">
        <v>65</v>
      </c>
      <c r="B37">
        <v>2.1023E-2</v>
      </c>
      <c r="C37">
        <v>2.9960000000000001E-2</v>
      </c>
      <c r="D37">
        <v>3.7330000000000002E-2</v>
      </c>
      <c r="E37">
        <v>4.777E-2</v>
      </c>
      <c r="F37">
        <v>8.3580000000000002E-2</v>
      </c>
      <c r="K37" t="str">
        <f t="shared" si="1"/>
        <v>sigmaI_median</v>
      </c>
      <c r="L37">
        <f t="shared" si="2"/>
        <v>3.7330000000000002E-2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</row>
    <row r="55" spans="1:12">
      <c r="A55">
        <v>26493.4</v>
      </c>
      <c r="B55">
        <v>10770.92</v>
      </c>
      <c r="C55">
        <v>38000.51</v>
      </c>
      <c r="D55">
        <v>18687.11</v>
      </c>
      <c r="E55">
        <v>10534.52</v>
      </c>
      <c r="F55">
        <v>28598.07</v>
      </c>
      <c r="G55">
        <v>41048.03</v>
      </c>
    </row>
    <row r="56" spans="1:12">
      <c r="B56" t="s">
        <v>65</v>
      </c>
    </row>
    <row r="57" spans="1:12">
      <c r="A57">
        <v>45975.71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L57"/>
  <sheetViews>
    <sheetView topLeftCell="A40" workbookViewId="0">
      <selection activeCell="K55" sqref="K55:L62"/>
    </sheetView>
  </sheetViews>
  <sheetFormatPr defaultRowHeight="15"/>
  <cols>
    <col min="1" max="1" width="11.85546875" bestFit="1" customWidth="1"/>
    <col min="2" max="2" width="20.28515625" bestFit="1" customWidth="1"/>
    <col min="3" max="3" width="13.7109375" bestFit="1" customWidth="1"/>
    <col min="4" max="4" width="8.28515625" bestFit="1" customWidth="1"/>
    <col min="5" max="5" width="9" bestFit="1" customWidth="1"/>
    <col min="6" max="6" width="11.42578125" bestFit="1" customWidth="1"/>
    <col min="7" max="7" width="9" bestFit="1" customWidth="1"/>
    <col min="8" max="8" width="7.42578125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1984</v>
      </c>
      <c r="K4" t="s">
        <v>84</v>
      </c>
      <c r="L4">
        <f>B4</f>
        <v>1984</v>
      </c>
    </row>
    <row r="5" spans="1:12">
      <c r="A5" t="s">
        <v>30</v>
      </c>
      <c r="B5" t="s">
        <v>31</v>
      </c>
      <c r="C5">
        <v>-53.49</v>
      </c>
      <c r="K5" t="s">
        <v>78</v>
      </c>
      <c r="L5">
        <f>C5</f>
        <v>-53.49</v>
      </c>
    </row>
    <row r="6" spans="1:12">
      <c r="A6" t="s">
        <v>32</v>
      </c>
      <c r="B6">
        <v>10.52</v>
      </c>
      <c r="K6" t="s">
        <v>79</v>
      </c>
      <c r="L6">
        <f>B6</f>
        <v>10.52</v>
      </c>
    </row>
    <row r="7" spans="1:12">
      <c r="A7" t="s">
        <v>33</v>
      </c>
      <c r="B7" t="s">
        <v>31</v>
      </c>
      <c r="C7">
        <v>-42.96</v>
      </c>
      <c r="K7" t="s">
        <v>80</v>
      </c>
      <c r="L7">
        <f>C7</f>
        <v>-42.96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11</v>
      </c>
      <c r="B18">
        <v>0.1072</v>
      </c>
      <c r="C18">
        <v>0.11891</v>
      </c>
      <c r="D18" s="2">
        <v>1.5349999999999999E-4</v>
      </c>
      <c r="E18" s="2">
        <v>5.9659999999999997E-4</v>
      </c>
      <c r="K18" t="str">
        <f>A18</f>
        <v>Tag</v>
      </c>
      <c r="L18">
        <f>B18</f>
        <v>0.1072</v>
      </c>
    </row>
    <row r="19" spans="1:12">
      <c r="A19" t="s">
        <v>12</v>
      </c>
      <c r="B19">
        <v>0.24021000000000001</v>
      </c>
      <c r="C19">
        <v>0.19519</v>
      </c>
      <c r="D19" s="2">
        <v>2.52E-4</v>
      </c>
      <c r="E19" s="2">
        <v>1.6639999999999999E-3</v>
      </c>
      <c r="K19" t="str">
        <f t="shared" ref="K19:L25" si="0">A19</f>
        <v>Tai</v>
      </c>
      <c r="L19">
        <f t="shared" si="0"/>
        <v>0.24021000000000001</v>
      </c>
    </row>
    <row r="20" spans="1:12">
      <c r="A20" t="s">
        <v>13</v>
      </c>
      <c r="B20">
        <v>6.5680000000000002E-2</v>
      </c>
      <c r="C20">
        <v>6.0839999999999998E-2</v>
      </c>
      <c r="D20" s="2">
        <v>7.8549999999999998E-5</v>
      </c>
      <c r="E20" s="2">
        <v>2.5930000000000001E-4</v>
      </c>
      <c r="K20" t="str">
        <f t="shared" si="0"/>
        <v>Tga</v>
      </c>
      <c r="L20">
        <f t="shared" si="0"/>
        <v>6.5680000000000002E-2</v>
      </c>
    </row>
    <row r="21" spans="1:12">
      <c r="A21" t="s">
        <v>14</v>
      </c>
      <c r="B21">
        <v>0.14380999999999999</v>
      </c>
      <c r="C21">
        <v>0.10800999999999999</v>
      </c>
      <c r="D21" s="2">
        <v>1.394E-4</v>
      </c>
      <c r="E21" s="2">
        <v>6.357E-4</v>
      </c>
      <c r="K21" t="str">
        <f t="shared" si="0"/>
        <v>Tgi</v>
      </c>
      <c r="L21">
        <f t="shared" si="0"/>
        <v>0.14380999999999999</v>
      </c>
    </row>
    <row r="22" spans="1:12">
      <c r="A22" t="s">
        <v>15</v>
      </c>
      <c r="B22">
        <v>0.17391999999999999</v>
      </c>
      <c r="C22">
        <v>0.10671</v>
      </c>
      <c r="D22" s="2">
        <v>1.3779999999999999E-4</v>
      </c>
      <c r="E22" s="2">
        <v>9.1560000000000003E-4</v>
      </c>
      <c r="K22" t="str">
        <f t="shared" si="0"/>
        <v>Tia</v>
      </c>
      <c r="L22">
        <f t="shared" si="0"/>
        <v>0.17391999999999999</v>
      </c>
    </row>
    <row r="23" spans="1:12">
      <c r="A23" t="s">
        <v>16</v>
      </c>
      <c r="B23">
        <v>6.0970000000000003E-2</v>
      </c>
      <c r="C23">
        <v>6.3519999999999993E-2</v>
      </c>
      <c r="D23" s="2">
        <v>8.2000000000000001E-5</v>
      </c>
      <c r="E23" s="2">
        <v>3.1740000000000002E-4</v>
      </c>
      <c r="K23" t="str">
        <f t="shared" si="0"/>
        <v>Tig</v>
      </c>
      <c r="L23">
        <f t="shared" si="0"/>
        <v>6.0970000000000003E-2</v>
      </c>
    </row>
    <row r="24" spans="1:12">
      <c r="A24" t="s">
        <v>64</v>
      </c>
      <c r="B24">
        <v>6.4689999999999998E-2</v>
      </c>
      <c r="C24">
        <v>3.0890000000000001E-2</v>
      </c>
      <c r="D24" s="2">
        <v>3.9879999999999998E-5</v>
      </c>
      <c r="E24" s="2">
        <v>1.3320000000000001E-4</v>
      </c>
      <c r="K24" t="str">
        <f t="shared" si="0"/>
        <v>sigmaG</v>
      </c>
      <c r="L24">
        <f t="shared" si="0"/>
        <v>6.4689999999999998E-2</v>
      </c>
    </row>
    <row r="25" spans="1:12">
      <c r="A25" t="s">
        <v>65</v>
      </c>
      <c r="B25">
        <v>4.2040000000000001E-2</v>
      </c>
      <c r="C25">
        <v>1.7590000000000001E-2</v>
      </c>
      <c r="D25" s="2">
        <v>2.2710000000000001E-5</v>
      </c>
      <c r="E25" s="2">
        <v>8.0929999999999999E-5</v>
      </c>
      <c r="K25" t="str">
        <f t="shared" si="0"/>
        <v>sigmaI</v>
      </c>
      <c r="L25">
        <f t="shared" si="0"/>
        <v>4.2040000000000001E-2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11</v>
      </c>
      <c r="B30">
        <v>2.4489999999999998E-3</v>
      </c>
      <c r="C30">
        <v>2.809E-2</v>
      </c>
      <c r="D30">
        <v>6.8860000000000005E-2</v>
      </c>
      <c r="E30">
        <v>0.14277999999999999</v>
      </c>
      <c r="F30">
        <v>0.44177</v>
      </c>
      <c r="K30" t="str">
        <f t="shared" ref="K30:K37" si="1">CONCATENATE(A30,"_median")</f>
        <v>Tag_median</v>
      </c>
      <c r="L30">
        <f t="shared" ref="L30:L37" si="2">D30</f>
        <v>6.8860000000000005E-2</v>
      </c>
    </row>
    <row r="31" spans="1:12">
      <c r="A31" t="s">
        <v>12</v>
      </c>
      <c r="B31">
        <v>9.2759999999999995E-3</v>
      </c>
      <c r="C31">
        <v>9.0429999999999996E-2</v>
      </c>
      <c r="D31">
        <v>0.19198999999999999</v>
      </c>
      <c r="E31">
        <v>0.33894000000000002</v>
      </c>
      <c r="F31">
        <v>0.75400999999999996</v>
      </c>
      <c r="K31" t="str">
        <f t="shared" si="1"/>
        <v>Tai_median</v>
      </c>
      <c r="L31">
        <f t="shared" si="2"/>
        <v>0.19198999999999999</v>
      </c>
    </row>
    <row r="32" spans="1:12">
      <c r="A32" t="s">
        <v>13</v>
      </c>
      <c r="B32">
        <v>2.117E-3</v>
      </c>
      <c r="C32">
        <v>2.2790000000000001E-2</v>
      </c>
      <c r="D32">
        <v>4.9930000000000002E-2</v>
      </c>
      <c r="E32">
        <v>8.9749999999999996E-2</v>
      </c>
      <c r="F32">
        <v>0.22486</v>
      </c>
      <c r="K32" t="str">
        <f t="shared" si="1"/>
        <v>Tga_median</v>
      </c>
      <c r="L32">
        <f t="shared" si="2"/>
        <v>4.9930000000000002E-2</v>
      </c>
    </row>
    <row r="33" spans="1:12">
      <c r="A33" t="s">
        <v>14</v>
      </c>
      <c r="B33">
        <v>7.1000000000000004E-3</v>
      </c>
      <c r="C33">
        <v>6.4339999999999994E-2</v>
      </c>
      <c r="D33">
        <v>0.12339</v>
      </c>
      <c r="E33">
        <v>0.19681000000000001</v>
      </c>
      <c r="F33">
        <v>0.41181000000000001</v>
      </c>
      <c r="K33" t="str">
        <f t="shared" si="1"/>
        <v>Tgi_median</v>
      </c>
      <c r="L33">
        <f t="shared" si="2"/>
        <v>0.12339</v>
      </c>
    </row>
    <row r="34" spans="1:12">
      <c r="A34" t="s">
        <v>15</v>
      </c>
      <c r="B34">
        <v>2.3102000000000001E-2</v>
      </c>
      <c r="C34">
        <v>9.6659999999999996E-2</v>
      </c>
      <c r="D34">
        <v>0.15415999999999999</v>
      </c>
      <c r="E34">
        <v>0.22955</v>
      </c>
      <c r="F34">
        <v>0.43957000000000002</v>
      </c>
      <c r="K34" t="str">
        <f t="shared" si="1"/>
        <v>Tia_median</v>
      </c>
      <c r="L34">
        <f t="shared" si="2"/>
        <v>0.15415999999999999</v>
      </c>
    </row>
    <row r="35" spans="1:12">
      <c r="A35" t="s">
        <v>16</v>
      </c>
      <c r="B35">
        <v>1.519E-3</v>
      </c>
      <c r="C35">
        <v>1.7309999999999999E-2</v>
      </c>
      <c r="D35">
        <v>4.1540000000000001E-2</v>
      </c>
      <c r="E35">
        <v>8.3220000000000002E-2</v>
      </c>
      <c r="F35">
        <v>0.23088</v>
      </c>
      <c r="K35" t="str">
        <f t="shared" si="1"/>
        <v>Tig_median</v>
      </c>
      <c r="L35">
        <f t="shared" si="2"/>
        <v>4.1540000000000001E-2</v>
      </c>
    </row>
    <row r="36" spans="1:12">
      <c r="A36" t="s">
        <v>64</v>
      </c>
      <c r="B36">
        <v>3.0068000000000001E-2</v>
      </c>
      <c r="C36">
        <v>4.4540000000000003E-2</v>
      </c>
      <c r="D36">
        <v>5.7119999999999997E-2</v>
      </c>
      <c r="E36">
        <v>7.5759999999999994E-2</v>
      </c>
      <c r="F36">
        <v>0.14445</v>
      </c>
      <c r="K36" t="str">
        <f t="shared" si="1"/>
        <v>sigmaG_median</v>
      </c>
      <c r="L36">
        <f t="shared" si="2"/>
        <v>5.7119999999999997E-2</v>
      </c>
    </row>
    <row r="37" spans="1:12">
      <c r="A37" t="s">
        <v>65</v>
      </c>
      <c r="B37">
        <v>2.1350000000000001E-2</v>
      </c>
      <c r="C37">
        <v>3.039E-2</v>
      </c>
      <c r="D37">
        <v>3.798E-2</v>
      </c>
      <c r="E37">
        <v>4.8840000000000001E-2</v>
      </c>
      <c r="F37">
        <v>8.6669999999999997E-2</v>
      </c>
      <c r="K37" t="str">
        <f t="shared" si="1"/>
        <v>sigmaI_median</v>
      </c>
      <c r="L37">
        <f t="shared" si="2"/>
        <v>3.798E-2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</row>
    <row r="55" spans="1:12">
      <c r="A55">
        <v>39952.04</v>
      </c>
      <c r="B55">
        <v>13806.96</v>
      </c>
      <c r="C55">
        <v>55245.09</v>
      </c>
      <c r="D55">
        <v>28971.4</v>
      </c>
      <c r="E55">
        <v>13621.05</v>
      </c>
      <c r="F55">
        <v>40526.089999999997</v>
      </c>
      <c r="G55">
        <v>54032.24</v>
      </c>
    </row>
    <row r="56" spans="1:12">
      <c r="B56" t="s">
        <v>65</v>
      </c>
    </row>
    <row r="57" spans="1:12">
      <c r="A57">
        <v>47390.62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dimension ref="A1:L55"/>
  <sheetViews>
    <sheetView topLeftCell="A37" workbookViewId="0">
      <selection activeCell="K37" sqref="K1:L1048576"/>
    </sheetView>
  </sheetViews>
  <sheetFormatPr defaultRowHeight="1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1980</v>
      </c>
      <c r="K4" t="s">
        <v>84</v>
      </c>
      <c r="L4">
        <f>B4</f>
        <v>1980</v>
      </c>
    </row>
    <row r="5" spans="1:12">
      <c r="A5" t="s">
        <v>30</v>
      </c>
      <c r="B5" t="s">
        <v>31</v>
      </c>
      <c r="C5">
        <v>-95.17</v>
      </c>
      <c r="K5" t="s">
        <v>78</v>
      </c>
      <c r="L5">
        <f>C5</f>
        <v>-95.17</v>
      </c>
    </row>
    <row r="6" spans="1:12">
      <c r="A6" t="s">
        <v>32</v>
      </c>
      <c r="B6">
        <v>9.4979999999999993</v>
      </c>
      <c r="K6" t="s">
        <v>79</v>
      </c>
      <c r="L6">
        <f>B6</f>
        <v>9.4979999999999993</v>
      </c>
    </row>
    <row r="7" spans="1:12">
      <c r="A7" t="s">
        <v>33</v>
      </c>
      <c r="B7" t="s">
        <v>31</v>
      </c>
      <c r="C7">
        <v>-85.68</v>
      </c>
      <c r="K7" t="s">
        <v>80</v>
      </c>
      <c r="L7">
        <f>C7</f>
        <v>-85.68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18</v>
      </c>
      <c r="B18">
        <v>0.17909</v>
      </c>
      <c r="C18">
        <v>7.5978000000000004E-2</v>
      </c>
      <c r="D18" s="2">
        <v>9.8090000000000004E-5</v>
      </c>
      <c r="E18" s="2">
        <v>1.6659999999999999E-3</v>
      </c>
      <c r="K18" t="str">
        <f>A18</f>
        <v>Kag</v>
      </c>
      <c r="L18">
        <f>B18</f>
        <v>0.17909</v>
      </c>
    </row>
    <row r="19" spans="1:12">
      <c r="A19" t="s">
        <v>19</v>
      </c>
      <c r="B19">
        <v>0.11676</v>
      </c>
      <c r="C19">
        <v>8.7160000000000001E-2</v>
      </c>
      <c r="D19" s="2">
        <v>1.125E-4</v>
      </c>
      <c r="E19" s="2">
        <v>1.629E-3</v>
      </c>
      <c r="K19" t="str">
        <f t="shared" ref="K19:L25" si="0">A19</f>
        <v>Kai</v>
      </c>
      <c r="L19">
        <f t="shared" si="0"/>
        <v>0.11676</v>
      </c>
    </row>
    <row r="20" spans="1:12">
      <c r="A20" t="s">
        <v>20</v>
      </c>
      <c r="B20">
        <v>0.45567999999999997</v>
      </c>
      <c r="C20">
        <v>0.256942</v>
      </c>
      <c r="D20" s="2">
        <v>3.3169999999999999E-4</v>
      </c>
      <c r="E20" s="2">
        <v>5.6290000000000003E-3</v>
      </c>
      <c r="K20" t="str">
        <f t="shared" si="0"/>
        <v>Kga</v>
      </c>
      <c r="L20">
        <f t="shared" si="0"/>
        <v>0.45567999999999997</v>
      </c>
    </row>
    <row r="21" spans="1:12">
      <c r="A21" t="s">
        <v>21</v>
      </c>
      <c r="B21">
        <v>0.5262</v>
      </c>
      <c r="C21">
        <v>0.234295</v>
      </c>
      <c r="D21" s="2">
        <v>3.0249999999999998E-4</v>
      </c>
      <c r="E21" s="2">
        <v>5.8580000000000004E-3</v>
      </c>
      <c r="K21" t="str">
        <f t="shared" si="0"/>
        <v>Kgi</v>
      </c>
      <c r="L21">
        <f t="shared" si="0"/>
        <v>0.5262</v>
      </c>
    </row>
    <row r="22" spans="1:12">
      <c r="A22" t="s">
        <v>6</v>
      </c>
      <c r="B22">
        <v>0.34426000000000001</v>
      </c>
      <c r="C22">
        <v>0.204182</v>
      </c>
      <c r="D22" s="2">
        <v>2.6360000000000001E-4</v>
      </c>
      <c r="E22" s="2">
        <v>4.2519999999999997E-3</v>
      </c>
      <c r="K22" t="str">
        <f t="shared" si="0"/>
        <v>Kia</v>
      </c>
      <c r="L22">
        <f t="shared" si="0"/>
        <v>0.34426000000000001</v>
      </c>
    </row>
    <row r="23" spans="1:12">
      <c r="A23" t="s">
        <v>22</v>
      </c>
      <c r="B23">
        <v>0.22722999999999999</v>
      </c>
      <c r="C23">
        <v>0.13841400000000001</v>
      </c>
      <c r="D23" s="2">
        <v>1.7870000000000001E-4</v>
      </c>
      <c r="E23" s="2">
        <v>3.3310000000000002E-3</v>
      </c>
      <c r="K23" t="str">
        <f t="shared" si="0"/>
        <v>Kig</v>
      </c>
      <c r="L23">
        <f t="shared" si="0"/>
        <v>0.22722999999999999</v>
      </c>
    </row>
    <row r="24" spans="1:12">
      <c r="A24" t="s">
        <v>64</v>
      </c>
      <c r="B24">
        <v>1.2019999999999999E-2</v>
      </c>
      <c r="C24">
        <v>4.6589999999999999E-3</v>
      </c>
      <c r="D24" s="2">
        <v>6.015E-6</v>
      </c>
      <c r="E24" s="2">
        <v>2.243E-5</v>
      </c>
      <c r="K24" t="str">
        <f t="shared" si="0"/>
        <v>sigmaG</v>
      </c>
      <c r="L24">
        <f t="shared" si="0"/>
        <v>1.2019999999999999E-2</v>
      </c>
    </row>
    <row r="25" spans="1:12">
      <c r="A25" t="s">
        <v>65</v>
      </c>
      <c r="B25">
        <v>1.6369999999999999E-2</v>
      </c>
      <c r="C25">
        <v>6.5059999999999996E-3</v>
      </c>
      <c r="D25" s="2">
        <v>8.3999999999999992E-6</v>
      </c>
      <c r="E25" s="2">
        <v>4.278E-5</v>
      </c>
      <c r="K25" t="str">
        <f t="shared" si="0"/>
        <v>sigmaI</v>
      </c>
      <c r="L25">
        <f t="shared" si="0"/>
        <v>1.6369999999999999E-2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18</v>
      </c>
      <c r="B30">
        <v>3.4599999999999999E-2</v>
      </c>
      <c r="C30">
        <v>0.12762999999999999</v>
      </c>
      <c r="D30">
        <v>0.17743999999999999</v>
      </c>
      <c r="E30">
        <v>0.22746</v>
      </c>
      <c r="F30">
        <v>0.33650000000000002</v>
      </c>
      <c r="K30" t="str">
        <f t="shared" ref="K30:K37" si="1">CONCATENATE(A30,"_median")</f>
        <v>Kag_median</v>
      </c>
      <c r="L30">
        <f t="shared" ref="L30:L37" si="2">D30</f>
        <v>0.17743999999999999</v>
      </c>
    </row>
    <row r="31" spans="1:12">
      <c r="A31" t="s">
        <v>19</v>
      </c>
      <c r="B31">
        <v>5.6639999999999998E-3</v>
      </c>
      <c r="C31">
        <v>5.0770000000000003E-2</v>
      </c>
      <c r="D31">
        <v>9.9150000000000002E-2</v>
      </c>
      <c r="E31">
        <v>0.16227</v>
      </c>
      <c r="F31">
        <v>0.33576</v>
      </c>
      <c r="K31" t="str">
        <f t="shared" si="1"/>
        <v>Kai_median</v>
      </c>
      <c r="L31">
        <f t="shared" si="2"/>
        <v>9.9150000000000002E-2</v>
      </c>
    </row>
    <row r="32" spans="1:12">
      <c r="A32" t="s">
        <v>20</v>
      </c>
      <c r="B32">
        <v>3.1095000000000001E-2</v>
      </c>
      <c r="C32">
        <v>0.24717</v>
      </c>
      <c r="D32">
        <v>0.44257000000000002</v>
      </c>
      <c r="E32">
        <v>0.65217999999999998</v>
      </c>
      <c r="F32">
        <v>0.94533999999999996</v>
      </c>
      <c r="K32" t="str">
        <f t="shared" si="1"/>
        <v>Kga_median</v>
      </c>
      <c r="L32">
        <f t="shared" si="2"/>
        <v>0.44257000000000002</v>
      </c>
    </row>
    <row r="33" spans="1:12">
      <c r="A33" t="s">
        <v>21</v>
      </c>
      <c r="B33">
        <v>7.2109000000000006E-2</v>
      </c>
      <c r="C33">
        <v>0.35458000000000001</v>
      </c>
      <c r="D33">
        <v>0.53254000000000001</v>
      </c>
      <c r="E33">
        <v>0.70252000000000003</v>
      </c>
      <c r="F33">
        <v>0.94784999999999997</v>
      </c>
      <c r="K33" t="str">
        <f t="shared" si="1"/>
        <v>Kgi_median</v>
      </c>
      <c r="L33">
        <f t="shared" si="2"/>
        <v>0.53254000000000001</v>
      </c>
    </row>
    <row r="34" spans="1:12">
      <c r="A34" t="s">
        <v>6</v>
      </c>
      <c r="B34">
        <v>2.6155999999999999E-2</v>
      </c>
      <c r="C34">
        <v>0.18709999999999999</v>
      </c>
      <c r="D34">
        <v>0.32338</v>
      </c>
      <c r="E34">
        <v>0.47484999999999999</v>
      </c>
      <c r="F34">
        <v>0.81274000000000002</v>
      </c>
      <c r="K34" t="str">
        <f t="shared" si="1"/>
        <v>Kia_median</v>
      </c>
      <c r="L34">
        <f t="shared" si="2"/>
        <v>0.32338</v>
      </c>
    </row>
    <row r="35" spans="1:12">
      <c r="A35" t="s">
        <v>22</v>
      </c>
      <c r="B35">
        <v>1.5661000000000001E-2</v>
      </c>
      <c r="C35">
        <v>0.12066</v>
      </c>
      <c r="D35">
        <v>0.21102000000000001</v>
      </c>
      <c r="E35">
        <v>0.31505</v>
      </c>
      <c r="F35">
        <v>0.53771000000000002</v>
      </c>
      <c r="K35" t="str">
        <f t="shared" si="1"/>
        <v>Kig_median</v>
      </c>
      <c r="L35">
        <f t="shared" si="2"/>
        <v>0.21102000000000001</v>
      </c>
    </row>
    <row r="36" spans="1:12">
      <c r="A36" t="s">
        <v>64</v>
      </c>
      <c r="B36">
        <v>6.4530000000000004E-3</v>
      </c>
      <c r="C36">
        <v>8.9499999999999996E-3</v>
      </c>
      <c r="D36">
        <v>1.099E-2</v>
      </c>
      <c r="E36">
        <v>1.3849999999999999E-2</v>
      </c>
      <c r="F36">
        <v>2.3709999999999998E-2</v>
      </c>
      <c r="K36" t="str">
        <f t="shared" si="1"/>
        <v>sigmaG_median</v>
      </c>
      <c r="L36">
        <f t="shared" si="2"/>
        <v>1.099E-2</v>
      </c>
    </row>
    <row r="37" spans="1:12">
      <c r="A37" t="s">
        <v>65</v>
      </c>
      <c r="B37">
        <v>8.6400000000000001E-3</v>
      </c>
      <c r="C37">
        <v>1.206E-2</v>
      </c>
      <c r="D37">
        <v>1.489E-2</v>
      </c>
      <c r="E37">
        <v>1.891E-2</v>
      </c>
      <c r="F37">
        <v>3.2919999999999998E-2</v>
      </c>
      <c r="K37" t="str">
        <f t="shared" si="1"/>
        <v>sigmaI_median</v>
      </c>
      <c r="L37">
        <f t="shared" si="2"/>
        <v>1.489E-2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>
      <c r="A44" t="s">
        <v>20</v>
      </c>
      <c r="B44">
        <v>1</v>
      </c>
      <c r="C44">
        <v>1.01</v>
      </c>
      <c r="K44" t="str">
        <f t="shared" si="3"/>
        <v>Kga_rhat</v>
      </c>
      <c r="L44">
        <f t="shared" si="4"/>
        <v>1</v>
      </c>
    </row>
    <row r="45" spans="1:12">
      <c r="A45" t="s">
        <v>21</v>
      </c>
      <c r="B45">
        <v>1</v>
      </c>
      <c r="C45">
        <v>1.01</v>
      </c>
      <c r="K45" t="str">
        <f t="shared" si="3"/>
        <v>Kgi_rhat</v>
      </c>
      <c r="L45">
        <f t="shared" si="4"/>
        <v>1</v>
      </c>
    </row>
    <row r="46" spans="1:12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>
      <c r="B55">
        <v>2082.2640000000001</v>
      </c>
      <c r="C55">
        <v>2896.433</v>
      </c>
      <c r="D55">
        <v>2084.069</v>
      </c>
      <c r="E55">
        <v>1596.019</v>
      </c>
      <c r="F55">
        <v>2307.6529999999998</v>
      </c>
      <c r="G55">
        <v>1728.4179999999999</v>
      </c>
      <c r="H55">
        <v>43578.061000000002</v>
      </c>
      <c r="I55">
        <v>23413.752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dimension ref="A1:L55"/>
  <sheetViews>
    <sheetView topLeftCell="A28" workbookViewId="0">
      <selection activeCell="K28" sqref="K1:L1048576"/>
    </sheetView>
  </sheetViews>
  <sheetFormatPr defaultRowHeight="1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1981</v>
      </c>
      <c r="K4" t="s">
        <v>84</v>
      </c>
      <c r="L4">
        <f>B4</f>
        <v>1981</v>
      </c>
    </row>
    <row r="5" spans="1:12">
      <c r="A5" t="s">
        <v>30</v>
      </c>
      <c r="B5" t="s">
        <v>31</v>
      </c>
      <c r="C5">
        <v>-97.56</v>
      </c>
      <c r="K5" t="s">
        <v>78</v>
      </c>
      <c r="L5">
        <f>C5</f>
        <v>-97.56</v>
      </c>
    </row>
    <row r="6" spans="1:12">
      <c r="A6" t="s">
        <v>32</v>
      </c>
      <c r="B6">
        <v>10.9</v>
      </c>
      <c r="K6" t="s">
        <v>79</v>
      </c>
      <c r="L6">
        <f>B6</f>
        <v>10.9</v>
      </c>
    </row>
    <row r="7" spans="1:12">
      <c r="A7" t="s">
        <v>33</v>
      </c>
      <c r="B7" t="s">
        <v>31</v>
      </c>
      <c r="C7">
        <v>-86.66</v>
      </c>
      <c r="K7" t="s">
        <v>80</v>
      </c>
      <c r="L7">
        <f>C7</f>
        <v>-86.66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18</v>
      </c>
      <c r="B18">
        <v>0.13485</v>
      </c>
      <c r="C18">
        <v>5.0958999999999997E-2</v>
      </c>
      <c r="D18" s="2">
        <v>6.5790000000000005E-5</v>
      </c>
      <c r="E18" s="2">
        <v>7.4910000000000005E-4</v>
      </c>
      <c r="K18" t="str">
        <f>A18</f>
        <v>Kag</v>
      </c>
      <c r="L18">
        <f>B18</f>
        <v>0.13485</v>
      </c>
    </row>
    <row r="19" spans="1:12">
      <c r="A19" t="s">
        <v>19</v>
      </c>
      <c r="B19">
        <v>7.4200000000000002E-2</v>
      </c>
      <c r="C19">
        <v>5.7447999999999999E-2</v>
      </c>
      <c r="D19" s="2">
        <v>7.4170000000000003E-5</v>
      </c>
      <c r="E19" s="2">
        <v>7.1389999999999995E-4</v>
      </c>
      <c r="K19" t="str">
        <f t="shared" ref="K19:L25" si="0">A19</f>
        <v>Kai</v>
      </c>
      <c r="L19">
        <f t="shared" si="0"/>
        <v>7.4200000000000002E-2</v>
      </c>
    </row>
    <row r="20" spans="1:12">
      <c r="A20" t="s">
        <v>20</v>
      </c>
      <c r="B20">
        <v>0.29137999999999997</v>
      </c>
      <c r="C20">
        <v>0.18457100000000001</v>
      </c>
      <c r="D20" s="2">
        <v>2.3829999999999999E-4</v>
      </c>
      <c r="E20" s="2">
        <v>3.9290000000000002E-3</v>
      </c>
      <c r="K20" t="str">
        <f t="shared" si="0"/>
        <v>Kga</v>
      </c>
      <c r="L20">
        <f t="shared" si="0"/>
        <v>0.29137999999999997</v>
      </c>
    </row>
    <row r="21" spans="1:12">
      <c r="A21" t="s">
        <v>21</v>
      </c>
      <c r="B21">
        <v>0.41549999999999998</v>
      </c>
      <c r="C21">
        <v>0.20119400000000001</v>
      </c>
      <c r="D21" s="2">
        <v>2.5970000000000002E-4</v>
      </c>
      <c r="E21" s="2">
        <v>5.8240000000000002E-3</v>
      </c>
      <c r="K21" t="str">
        <f t="shared" si="0"/>
        <v>Kgi</v>
      </c>
      <c r="L21">
        <f t="shared" si="0"/>
        <v>0.41549999999999998</v>
      </c>
    </row>
    <row r="22" spans="1:12">
      <c r="A22" t="s">
        <v>6</v>
      </c>
      <c r="B22">
        <v>0.21798999999999999</v>
      </c>
      <c r="C22">
        <v>0.14371300000000001</v>
      </c>
      <c r="D22" s="2">
        <v>1.8550000000000001E-4</v>
      </c>
      <c r="E22" s="2">
        <v>2.4580000000000001E-3</v>
      </c>
      <c r="K22" t="str">
        <f t="shared" si="0"/>
        <v>Kia</v>
      </c>
      <c r="L22">
        <f t="shared" si="0"/>
        <v>0.21798999999999999</v>
      </c>
    </row>
    <row r="23" spans="1:12">
      <c r="A23" t="s">
        <v>22</v>
      </c>
      <c r="B23">
        <v>0.25802000000000003</v>
      </c>
      <c r="C23">
        <v>0.13846700000000001</v>
      </c>
      <c r="D23" s="2">
        <v>1.7880000000000001E-4</v>
      </c>
      <c r="E23" s="2">
        <v>3.6649999999999999E-3</v>
      </c>
      <c r="K23" t="str">
        <f t="shared" si="0"/>
        <v>Kig</v>
      </c>
      <c r="L23">
        <f t="shared" si="0"/>
        <v>0.25802000000000003</v>
      </c>
    </row>
    <row r="24" spans="1:12">
      <c r="A24" t="s">
        <v>64</v>
      </c>
      <c r="B24">
        <v>1.077E-2</v>
      </c>
      <c r="C24">
        <v>4.4429999999999999E-3</v>
      </c>
      <c r="D24" s="2">
        <v>5.7359999999999998E-6</v>
      </c>
      <c r="E24" s="2">
        <v>2.8819999999999999E-5</v>
      </c>
      <c r="K24" t="str">
        <f t="shared" si="0"/>
        <v>sigmaG</v>
      </c>
      <c r="L24">
        <f t="shared" si="0"/>
        <v>1.077E-2</v>
      </c>
    </row>
    <row r="25" spans="1:12">
      <c r="A25" t="s">
        <v>65</v>
      </c>
      <c r="B25">
        <v>1.5779999999999999E-2</v>
      </c>
      <c r="C25">
        <v>6.5570000000000003E-3</v>
      </c>
      <c r="D25" s="2">
        <v>8.4649999999999994E-6</v>
      </c>
      <c r="E25" s="2">
        <v>4.1829999999999998E-5</v>
      </c>
      <c r="K25" t="str">
        <f t="shared" si="0"/>
        <v>sigmaI</v>
      </c>
      <c r="L25">
        <f t="shared" si="0"/>
        <v>1.5779999999999999E-2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18</v>
      </c>
      <c r="B30">
        <v>4.1105999999999997E-2</v>
      </c>
      <c r="C30">
        <v>0.10227700000000001</v>
      </c>
      <c r="D30">
        <v>0.13179099999999999</v>
      </c>
      <c r="E30">
        <v>0.16366</v>
      </c>
      <c r="F30">
        <v>0.24709999999999999</v>
      </c>
      <c r="K30" t="str">
        <f t="shared" ref="K30:K37" si="1">CONCATENATE(A30,"_median")</f>
        <v>Kag_median</v>
      </c>
      <c r="L30">
        <f t="shared" ref="L30:L37" si="2">D30</f>
        <v>0.13179099999999999</v>
      </c>
    </row>
    <row r="31" spans="1:12">
      <c r="A31" t="s">
        <v>19</v>
      </c>
      <c r="B31">
        <v>3.5460000000000001E-3</v>
      </c>
      <c r="C31">
        <v>3.1759999999999997E-2</v>
      </c>
      <c r="D31">
        <v>6.2023000000000002E-2</v>
      </c>
      <c r="E31">
        <v>0.10253</v>
      </c>
      <c r="F31">
        <v>0.21715000000000001</v>
      </c>
      <c r="K31" t="str">
        <f t="shared" si="1"/>
        <v>Kai_median</v>
      </c>
      <c r="L31">
        <f t="shared" si="2"/>
        <v>6.2023000000000002E-2</v>
      </c>
    </row>
    <row r="32" spans="1:12">
      <c r="A32" t="s">
        <v>20</v>
      </c>
      <c r="B32">
        <v>1.6507999999999998E-2</v>
      </c>
      <c r="C32">
        <v>0.14457800000000001</v>
      </c>
      <c r="D32">
        <v>0.27176099999999997</v>
      </c>
      <c r="E32">
        <v>0.41213</v>
      </c>
      <c r="F32">
        <v>0.69943999999999995</v>
      </c>
      <c r="K32" t="str">
        <f t="shared" si="1"/>
        <v>Kga_median</v>
      </c>
      <c r="L32">
        <f t="shared" si="2"/>
        <v>0.27176099999999997</v>
      </c>
    </row>
    <row r="33" spans="1:12">
      <c r="A33" t="s">
        <v>21</v>
      </c>
      <c r="B33">
        <v>5.4919999999999997E-2</v>
      </c>
      <c r="C33">
        <v>0.26739200000000002</v>
      </c>
      <c r="D33">
        <v>0.40947499999999998</v>
      </c>
      <c r="E33">
        <v>0.55171999999999999</v>
      </c>
      <c r="F33">
        <v>0.83289000000000002</v>
      </c>
      <c r="K33" t="str">
        <f t="shared" si="1"/>
        <v>Kgi_median</v>
      </c>
      <c r="L33">
        <f t="shared" si="2"/>
        <v>0.40947499999999998</v>
      </c>
    </row>
    <row r="34" spans="1:12">
      <c r="A34" t="s">
        <v>6</v>
      </c>
      <c r="B34">
        <v>1.1762999999999999E-2</v>
      </c>
      <c r="C34">
        <v>0.10564800000000001</v>
      </c>
      <c r="D34">
        <v>0.19945099999999999</v>
      </c>
      <c r="E34">
        <v>0.30719000000000002</v>
      </c>
      <c r="F34">
        <v>0.54240999999999995</v>
      </c>
      <c r="K34" t="str">
        <f t="shared" si="1"/>
        <v>Kia_median</v>
      </c>
      <c r="L34">
        <f t="shared" si="2"/>
        <v>0.19945099999999999</v>
      </c>
    </row>
    <row r="35" spans="1:12">
      <c r="A35" t="s">
        <v>22</v>
      </c>
      <c r="B35">
        <v>2.6051000000000001E-2</v>
      </c>
      <c r="C35">
        <v>0.155555</v>
      </c>
      <c r="D35">
        <v>0.248472</v>
      </c>
      <c r="E35">
        <v>0.34721999999999997</v>
      </c>
      <c r="F35">
        <v>0.55737000000000003</v>
      </c>
      <c r="K35" t="str">
        <f t="shared" si="1"/>
        <v>Kig_median</v>
      </c>
      <c r="L35">
        <f t="shared" si="2"/>
        <v>0.248472</v>
      </c>
    </row>
    <row r="36" spans="1:12">
      <c r="A36" t="s">
        <v>64</v>
      </c>
      <c r="B36">
        <v>5.6059999999999999E-3</v>
      </c>
      <c r="C36">
        <v>7.8659999999999997E-3</v>
      </c>
      <c r="D36">
        <v>9.7429999999999999E-3</v>
      </c>
      <c r="E36">
        <v>1.244E-2</v>
      </c>
      <c r="F36">
        <v>2.2089999999999999E-2</v>
      </c>
      <c r="K36" t="str">
        <f t="shared" si="1"/>
        <v>sigmaG_median</v>
      </c>
      <c r="L36">
        <f t="shared" si="2"/>
        <v>9.7429999999999999E-3</v>
      </c>
    </row>
    <row r="37" spans="1:12">
      <c r="A37" t="s">
        <v>65</v>
      </c>
      <c r="B37">
        <v>8.2209999999999991E-3</v>
      </c>
      <c r="C37">
        <v>1.1506000000000001E-2</v>
      </c>
      <c r="D37">
        <v>1.4239E-2</v>
      </c>
      <c r="E37">
        <v>1.8200000000000001E-2</v>
      </c>
      <c r="F37">
        <v>3.2460000000000003E-2</v>
      </c>
      <c r="K37" t="str">
        <f t="shared" si="1"/>
        <v>sigmaI_median</v>
      </c>
      <c r="L37">
        <f t="shared" si="2"/>
        <v>1.4239E-2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>
      <c r="A45" t="s">
        <v>21</v>
      </c>
      <c r="B45">
        <v>1</v>
      </c>
      <c r="C45">
        <v>1.01</v>
      </c>
      <c r="K45" t="str">
        <f t="shared" si="3"/>
        <v>Kgi_rhat</v>
      </c>
      <c r="L45">
        <f t="shared" si="4"/>
        <v>1</v>
      </c>
    </row>
    <row r="46" spans="1:12">
      <c r="A46" t="s">
        <v>6</v>
      </c>
      <c r="B46">
        <v>1</v>
      </c>
      <c r="C46">
        <v>1.01</v>
      </c>
      <c r="K46" t="str">
        <f t="shared" si="3"/>
        <v>Kia_rhat</v>
      </c>
      <c r="L46">
        <f t="shared" si="4"/>
        <v>1</v>
      </c>
    </row>
    <row r="47" spans="1:12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>
      <c r="B55">
        <v>4658.6899999999996</v>
      </c>
      <c r="C55">
        <v>6635.87</v>
      </c>
      <c r="D55">
        <v>2212.9140000000002</v>
      </c>
      <c r="E55">
        <v>1197.6610000000001</v>
      </c>
      <c r="F55">
        <v>3421.6689999999999</v>
      </c>
      <c r="G55">
        <v>1450.5250000000001</v>
      </c>
      <c r="H55">
        <v>24463.669000000002</v>
      </c>
      <c r="I55">
        <v>25948.047999999999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dimension ref="A1:L55"/>
  <sheetViews>
    <sheetView topLeftCell="A25" workbookViewId="0">
      <selection activeCell="K25" sqref="K1:L1048576"/>
    </sheetView>
  </sheetViews>
  <sheetFormatPr defaultRowHeight="1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1982</v>
      </c>
      <c r="K4" t="s">
        <v>84</v>
      </c>
      <c r="L4">
        <f>B4</f>
        <v>1982</v>
      </c>
    </row>
    <row r="5" spans="1:12">
      <c r="A5" t="s">
        <v>30</v>
      </c>
      <c r="B5" t="s">
        <v>31</v>
      </c>
      <c r="C5">
        <v>-89.63</v>
      </c>
      <c r="K5" t="s">
        <v>78</v>
      </c>
      <c r="L5">
        <f>C5</f>
        <v>-89.63</v>
      </c>
    </row>
    <row r="6" spans="1:12">
      <c r="A6" t="s">
        <v>32</v>
      </c>
      <c r="B6">
        <v>10.96</v>
      </c>
      <c r="K6" t="s">
        <v>79</v>
      </c>
      <c r="L6">
        <f>B6</f>
        <v>10.96</v>
      </c>
    </row>
    <row r="7" spans="1:12">
      <c r="A7" t="s">
        <v>33</v>
      </c>
      <c r="B7" t="s">
        <v>31</v>
      </c>
      <c r="C7">
        <v>-78.680000000000007</v>
      </c>
      <c r="K7" t="s">
        <v>80</v>
      </c>
      <c r="L7">
        <f>C7</f>
        <v>-78.680000000000007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18</v>
      </c>
      <c r="B18">
        <v>0.12255000000000001</v>
      </c>
      <c r="C18">
        <v>7.0772000000000002E-2</v>
      </c>
      <c r="D18" s="2">
        <v>9.1370000000000001E-5</v>
      </c>
      <c r="E18" s="2">
        <v>9.9449999999999994E-4</v>
      </c>
      <c r="K18" t="str">
        <f>A18</f>
        <v>Kag</v>
      </c>
      <c r="L18">
        <f>B18</f>
        <v>0.12255000000000001</v>
      </c>
    </row>
    <row r="19" spans="1:12">
      <c r="A19" t="s">
        <v>19</v>
      </c>
      <c r="B19">
        <v>6.633E-2</v>
      </c>
      <c r="C19">
        <v>4.6324999999999998E-2</v>
      </c>
      <c r="D19" s="2">
        <v>5.9799999999999997E-5</v>
      </c>
      <c r="E19" s="2">
        <v>5.4449999999999995E-4</v>
      </c>
      <c r="K19" t="str">
        <f t="shared" ref="K19:L25" si="0">A19</f>
        <v>Kai</v>
      </c>
      <c r="L19">
        <f t="shared" si="0"/>
        <v>6.633E-2</v>
      </c>
    </row>
    <row r="20" spans="1:12">
      <c r="A20" t="s">
        <v>20</v>
      </c>
      <c r="B20">
        <v>0.23635999999999999</v>
      </c>
      <c r="C20">
        <v>0.167934</v>
      </c>
      <c r="D20" s="2">
        <v>2.1680000000000001E-4</v>
      </c>
      <c r="E20" s="2">
        <v>1.9040000000000001E-3</v>
      </c>
      <c r="K20" t="str">
        <f t="shared" si="0"/>
        <v>Kga</v>
      </c>
      <c r="L20">
        <f t="shared" si="0"/>
        <v>0.23635999999999999</v>
      </c>
    </row>
    <row r="21" spans="1:12">
      <c r="A21" t="s">
        <v>21</v>
      </c>
      <c r="B21">
        <v>0.65910999999999997</v>
      </c>
      <c r="C21">
        <v>0.159966</v>
      </c>
      <c r="D21" s="2">
        <v>2.065E-4</v>
      </c>
      <c r="E21" s="2">
        <v>2.98E-3</v>
      </c>
      <c r="K21" t="str">
        <f t="shared" si="0"/>
        <v>Kgi</v>
      </c>
      <c r="L21">
        <f t="shared" si="0"/>
        <v>0.65910999999999997</v>
      </c>
    </row>
    <row r="22" spans="1:12">
      <c r="A22" t="s">
        <v>6</v>
      </c>
      <c r="B22">
        <v>0.25402000000000002</v>
      </c>
      <c r="C22">
        <v>0.16569300000000001</v>
      </c>
      <c r="D22" s="2">
        <v>2.139E-4</v>
      </c>
      <c r="E22" s="2">
        <v>3.4420000000000002E-3</v>
      </c>
      <c r="K22" t="str">
        <f t="shared" si="0"/>
        <v>Kia</v>
      </c>
      <c r="L22">
        <f t="shared" si="0"/>
        <v>0.25402000000000002</v>
      </c>
    </row>
    <row r="23" spans="1:12">
      <c r="A23" t="s">
        <v>22</v>
      </c>
      <c r="B23">
        <v>0.42503999999999997</v>
      </c>
      <c r="C23">
        <v>0.18559100000000001</v>
      </c>
      <c r="D23" s="2">
        <v>2.396E-4</v>
      </c>
      <c r="E23" s="2">
        <v>4.9969999999999997E-3</v>
      </c>
      <c r="K23" t="str">
        <f t="shared" si="0"/>
        <v>Kig</v>
      </c>
      <c r="L23">
        <f t="shared" si="0"/>
        <v>0.42503999999999997</v>
      </c>
    </row>
    <row r="24" spans="1:12">
      <c r="A24" t="s">
        <v>64</v>
      </c>
      <c r="B24">
        <v>2.2190000000000001E-2</v>
      </c>
      <c r="C24">
        <v>8.9390000000000008E-3</v>
      </c>
      <c r="D24" s="2">
        <v>1.154E-5</v>
      </c>
      <c r="E24" s="2">
        <v>4.3630000000000001E-5</v>
      </c>
      <c r="K24" t="str">
        <f t="shared" si="0"/>
        <v>sigmaG</v>
      </c>
      <c r="L24">
        <f t="shared" si="0"/>
        <v>2.2190000000000001E-2</v>
      </c>
    </row>
    <row r="25" spans="1:12">
      <c r="A25" t="s">
        <v>65</v>
      </c>
      <c r="B25">
        <v>1.2630000000000001E-2</v>
      </c>
      <c r="C25">
        <v>5.5079999999999999E-3</v>
      </c>
      <c r="D25" s="2">
        <v>7.1110000000000002E-6</v>
      </c>
      <c r="E25" s="2">
        <v>3.7939999999999999E-5</v>
      </c>
      <c r="K25" t="str">
        <f t="shared" si="0"/>
        <v>sigmaI</v>
      </c>
      <c r="L25">
        <f t="shared" si="0"/>
        <v>1.2630000000000001E-2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18</v>
      </c>
      <c r="B30">
        <v>1.2238000000000001E-2</v>
      </c>
      <c r="C30">
        <v>7.0601999999999998E-2</v>
      </c>
      <c r="D30">
        <v>0.11441999999999999</v>
      </c>
      <c r="E30">
        <v>0.16456999999999999</v>
      </c>
      <c r="F30">
        <v>0.28298000000000001</v>
      </c>
      <c r="K30" t="str">
        <f t="shared" ref="K30:K37" si="1">CONCATENATE(A30,"_median")</f>
        <v>Kag_median</v>
      </c>
      <c r="L30">
        <f t="shared" ref="L30:L37" si="2">D30</f>
        <v>0.11441999999999999</v>
      </c>
    </row>
    <row r="31" spans="1:12">
      <c r="A31" t="s">
        <v>19</v>
      </c>
      <c r="B31">
        <v>4.4400000000000004E-3</v>
      </c>
      <c r="C31">
        <v>3.3001999999999997E-2</v>
      </c>
      <c r="D31">
        <v>5.8439999999999999E-2</v>
      </c>
      <c r="E31">
        <v>8.9270000000000002E-2</v>
      </c>
      <c r="F31">
        <v>0.18003</v>
      </c>
      <c r="K31" t="str">
        <f t="shared" si="1"/>
        <v>Kai_median</v>
      </c>
      <c r="L31">
        <f t="shared" si="2"/>
        <v>5.8439999999999999E-2</v>
      </c>
    </row>
    <row r="32" spans="1:12">
      <c r="A32" t="s">
        <v>20</v>
      </c>
      <c r="B32">
        <v>1.1072E-2</v>
      </c>
      <c r="C32">
        <v>0.10446</v>
      </c>
      <c r="D32">
        <v>0.20784</v>
      </c>
      <c r="E32">
        <v>0.33504</v>
      </c>
      <c r="F32">
        <v>0.63400999999999996</v>
      </c>
      <c r="K32" t="str">
        <f t="shared" si="1"/>
        <v>Kga_median</v>
      </c>
      <c r="L32">
        <f t="shared" si="2"/>
        <v>0.20784</v>
      </c>
    </row>
    <row r="33" spans="1:12">
      <c r="A33" t="s">
        <v>21</v>
      </c>
      <c r="B33">
        <v>0.31095400000000001</v>
      </c>
      <c r="C33">
        <v>0.55935500000000005</v>
      </c>
      <c r="D33">
        <v>0.66713999999999996</v>
      </c>
      <c r="E33">
        <v>0.77071999999999996</v>
      </c>
      <c r="F33">
        <v>0.94764999999999999</v>
      </c>
      <c r="K33" t="str">
        <f t="shared" si="1"/>
        <v>Kgi_median</v>
      </c>
      <c r="L33">
        <f t="shared" si="2"/>
        <v>0.66713999999999996</v>
      </c>
    </row>
    <row r="34" spans="1:12">
      <c r="A34" t="s">
        <v>6</v>
      </c>
      <c r="B34">
        <v>1.3476E-2</v>
      </c>
      <c r="C34">
        <v>0.121709</v>
      </c>
      <c r="D34">
        <v>0.23238</v>
      </c>
      <c r="E34">
        <v>0.36204999999999998</v>
      </c>
      <c r="F34">
        <v>0.62004000000000004</v>
      </c>
      <c r="K34" t="str">
        <f t="shared" si="1"/>
        <v>Kia_median</v>
      </c>
      <c r="L34">
        <f t="shared" si="2"/>
        <v>0.23238</v>
      </c>
    </row>
    <row r="35" spans="1:12">
      <c r="A35" t="s">
        <v>22</v>
      </c>
      <c r="B35">
        <v>6.3477000000000006E-2</v>
      </c>
      <c r="C35">
        <v>0.29344999999999999</v>
      </c>
      <c r="D35">
        <v>0.43248999999999999</v>
      </c>
      <c r="E35">
        <v>0.55649999999999999</v>
      </c>
      <c r="F35">
        <v>0.77649000000000001</v>
      </c>
      <c r="K35" t="str">
        <f t="shared" si="1"/>
        <v>Kig_median</v>
      </c>
      <c r="L35">
        <f t="shared" si="2"/>
        <v>0.43248999999999999</v>
      </c>
    </row>
    <row r="36" spans="1:12">
      <c r="A36" t="s">
        <v>64</v>
      </c>
      <c r="B36">
        <v>1.1731999999999999E-2</v>
      </c>
      <c r="C36">
        <v>1.6313999999999999E-2</v>
      </c>
      <c r="D36">
        <v>2.0129999999999999E-2</v>
      </c>
      <c r="E36">
        <v>2.5600000000000001E-2</v>
      </c>
      <c r="F36">
        <v>4.5089999999999998E-2</v>
      </c>
      <c r="K36" t="str">
        <f t="shared" si="1"/>
        <v>sigmaG_median</v>
      </c>
      <c r="L36">
        <f t="shared" si="2"/>
        <v>2.0129999999999999E-2</v>
      </c>
    </row>
    <row r="37" spans="1:12">
      <c r="A37" t="s">
        <v>65</v>
      </c>
      <c r="B37">
        <v>6.4720000000000003E-3</v>
      </c>
      <c r="C37">
        <v>9.1050000000000002E-3</v>
      </c>
      <c r="D37">
        <v>1.133E-2</v>
      </c>
      <c r="E37">
        <v>1.456E-2</v>
      </c>
      <c r="F37">
        <v>2.6630000000000001E-2</v>
      </c>
      <c r="K37" t="str">
        <f t="shared" si="1"/>
        <v>sigmaI_median</v>
      </c>
      <c r="L37">
        <f t="shared" si="2"/>
        <v>1.133E-2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18</v>
      </c>
      <c r="B42">
        <v>1</v>
      </c>
      <c r="C42">
        <v>1.01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>
      <c r="A46" t="s">
        <v>6</v>
      </c>
      <c r="B46">
        <v>1.01</v>
      </c>
      <c r="C46">
        <v>1.01</v>
      </c>
      <c r="K46" t="str">
        <f t="shared" si="3"/>
        <v>Kia_rhat</v>
      </c>
      <c r="L46">
        <f t="shared" si="4"/>
        <v>1.01</v>
      </c>
    </row>
    <row r="47" spans="1:12">
      <c r="A47" t="s">
        <v>22</v>
      </c>
      <c r="B47">
        <v>1.01</v>
      </c>
      <c r="C47">
        <v>1.02</v>
      </c>
      <c r="K47" t="str">
        <f t="shared" si="3"/>
        <v>Kig_rhat</v>
      </c>
      <c r="L47">
        <f t="shared" si="4"/>
        <v>1.01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1.01</v>
      </c>
      <c r="K53" t="s">
        <v>85</v>
      </c>
      <c r="L53">
        <f>A53</f>
        <v>1.01</v>
      </c>
    </row>
    <row r="54" spans="1:12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>
      <c r="B55">
        <v>5083.7629999999999</v>
      </c>
      <c r="C55">
        <v>7239.7539999999999</v>
      </c>
      <c r="D55">
        <v>7796.9229999999998</v>
      </c>
      <c r="E55">
        <v>2889.5859999999998</v>
      </c>
      <c r="F55">
        <v>2327.5549999999998</v>
      </c>
      <c r="G55">
        <v>1367.194</v>
      </c>
      <c r="H55">
        <v>42890.836000000003</v>
      </c>
      <c r="I55">
        <v>21386.285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dimension ref="A1:L57"/>
  <sheetViews>
    <sheetView workbookViewId="0">
      <selection activeCell="K1" sqref="K1:L1048576"/>
    </sheetView>
  </sheetViews>
  <sheetFormatPr defaultRowHeight="1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>
      <c r="A3" t="s">
        <v>27</v>
      </c>
      <c r="B3" s="2">
        <v>100000</v>
      </c>
      <c r="K3" t="s">
        <v>83</v>
      </c>
      <c r="L3" s="4">
        <f>B3</f>
        <v>100000</v>
      </c>
    </row>
    <row r="4" spans="1:12">
      <c r="A4" t="s">
        <v>27</v>
      </c>
      <c r="B4">
        <v>1983</v>
      </c>
      <c r="K4" t="s">
        <v>84</v>
      </c>
      <c r="L4">
        <f>B4</f>
        <v>1983</v>
      </c>
    </row>
    <row r="5" spans="1:12">
      <c r="A5" t="s">
        <v>30</v>
      </c>
      <c r="B5" t="s">
        <v>31</v>
      </c>
      <c r="C5">
        <v>-102.1</v>
      </c>
      <c r="K5" t="s">
        <v>78</v>
      </c>
      <c r="L5">
        <f>C5</f>
        <v>-102.1</v>
      </c>
    </row>
    <row r="6" spans="1:12">
      <c r="A6" t="s">
        <v>32</v>
      </c>
      <c r="B6">
        <v>12.55</v>
      </c>
      <c r="K6" t="s">
        <v>79</v>
      </c>
      <c r="L6">
        <f>B6</f>
        <v>12.55</v>
      </c>
    </row>
    <row r="7" spans="1:12">
      <c r="A7" t="s">
        <v>33</v>
      </c>
      <c r="B7" t="s">
        <v>31</v>
      </c>
      <c r="C7">
        <v>-89.58</v>
      </c>
      <c r="K7" t="s">
        <v>80</v>
      </c>
      <c r="L7">
        <f>C7</f>
        <v>-89.58</v>
      </c>
    </row>
    <row r="9" spans="1:12">
      <c r="A9" t="s">
        <v>34</v>
      </c>
      <c r="B9" t="s">
        <v>0</v>
      </c>
      <c r="C9" t="s">
        <v>88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18</v>
      </c>
      <c r="B18">
        <v>7.0599999999999996E-2</v>
      </c>
      <c r="C18">
        <v>2.4108999999999998E-2</v>
      </c>
      <c r="D18" s="2">
        <v>3.112E-5</v>
      </c>
      <c r="E18" s="2">
        <v>3.2160000000000001E-4</v>
      </c>
      <c r="K18" t="str">
        <f>A18</f>
        <v>Kag</v>
      </c>
      <c r="L18">
        <f>B18</f>
        <v>7.0599999999999996E-2</v>
      </c>
    </row>
    <row r="19" spans="1:12">
      <c r="A19" t="s">
        <v>19</v>
      </c>
      <c r="B19">
        <v>0.10813</v>
      </c>
      <c r="C19">
        <v>7.3084999999999997E-2</v>
      </c>
      <c r="D19" s="2">
        <v>9.4350000000000003E-5</v>
      </c>
      <c r="E19" s="2">
        <v>8.8900000000000003E-4</v>
      </c>
      <c r="K19" t="str">
        <f t="shared" ref="K19:L25" si="0">A19</f>
        <v>Kai</v>
      </c>
      <c r="L19">
        <f t="shared" si="0"/>
        <v>0.10813</v>
      </c>
    </row>
    <row r="20" spans="1:12">
      <c r="A20" t="s">
        <v>20</v>
      </c>
      <c r="B20">
        <v>9.0357999999999994E-2</v>
      </c>
      <c r="C20">
        <v>7.5803999999999996E-2</v>
      </c>
      <c r="D20" s="2">
        <v>9.7860000000000002E-5</v>
      </c>
      <c r="E20" s="2">
        <v>1.415E-3</v>
      </c>
      <c r="K20" t="str">
        <f t="shared" si="0"/>
        <v>Kga</v>
      </c>
      <c r="L20">
        <f t="shared" si="0"/>
        <v>9.0357999999999994E-2</v>
      </c>
    </row>
    <row r="21" spans="1:12">
      <c r="A21" t="s">
        <v>21</v>
      </c>
      <c r="B21">
        <v>0.28876000000000002</v>
      </c>
      <c r="C21">
        <v>8.1679000000000002E-2</v>
      </c>
      <c r="D21" s="2">
        <v>1.054E-4</v>
      </c>
      <c r="E21" s="2">
        <v>1.493E-3</v>
      </c>
      <c r="K21" t="str">
        <f t="shared" si="0"/>
        <v>Kgi</v>
      </c>
      <c r="L21">
        <f t="shared" si="0"/>
        <v>0.28876000000000002</v>
      </c>
    </row>
    <row r="22" spans="1:12">
      <c r="A22" t="s">
        <v>6</v>
      </c>
      <c r="B22">
        <v>0.36199799999999999</v>
      </c>
      <c r="C22">
        <v>0.165268</v>
      </c>
      <c r="D22" s="2">
        <v>2.1340000000000001E-4</v>
      </c>
      <c r="E22" s="2">
        <v>2.2799999999999999E-3</v>
      </c>
      <c r="K22" t="str">
        <f t="shared" si="0"/>
        <v>Kia</v>
      </c>
      <c r="L22">
        <f t="shared" si="0"/>
        <v>0.36199799999999999</v>
      </c>
    </row>
    <row r="23" spans="1:12">
      <c r="A23" t="s">
        <v>22</v>
      </c>
      <c r="B23">
        <v>9.6392000000000005E-2</v>
      </c>
      <c r="C23">
        <v>6.4328999999999997E-2</v>
      </c>
      <c r="D23" s="2">
        <v>8.3049999999999999E-5</v>
      </c>
      <c r="E23" s="2">
        <v>1.044E-3</v>
      </c>
      <c r="K23" t="str">
        <f t="shared" si="0"/>
        <v>Kig</v>
      </c>
      <c r="L23">
        <f t="shared" si="0"/>
        <v>9.6392000000000005E-2</v>
      </c>
    </row>
    <row r="24" spans="1:12">
      <c r="A24" t="s">
        <v>64</v>
      </c>
      <c r="B24">
        <v>6.2839999999999997E-3</v>
      </c>
      <c r="C24">
        <v>2.9499999999999999E-3</v>
      </c>
      <c r="D24" s="2">
        <v>3.8089999999999999E-6</v>
      </c>
      <c r="E24" s="2">
        <v>1.9179999999999999E-5</v>
      </c>
      <c r="K24" t="str">
        <f t="shared" si="0"/>
        <v>sigmaG</v>
      </c>
      <c r="L24">
        <f t="shared" si="0"/>
        <v>6.2839999999999997E-3</v>
      </c>
    </row>
    <row r="25" spans="1:12">
      <c r="A25" t="s">
        <v>65</v>
      </c>
      <c r="B25">
        <v>2.0712000000000001E-2</v>
      </c>
      <c r="C25">
        <v>8.8120000000000004E-3</v>
      </c>
      <c r="D25" s="2">
        <v>1.1379999999999999E-5</v>
      </c>
      <c r="E25" s="2">
        <v>6.6249999999999998E-5</v>
      </c>
      <c r="K25" t="str">
        <f t="shared" si="0"/>
        <v>sigmaI</v>
      </c>
      <c r="L25">
        <f t="shared" si="0"/>
        <v>2.0712000000000001E-2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18</v>
      </c>
      <c r="B30">
        <v>1.6524E-2</v>
      </c>
      <c r="C30">
        <v>5.5996999999999998E-2</v>
      </c>
      <c r="D30">
        <v>7.2995000000000004E-2</v>
      </c>
      <c r="E30">
        <v>8.7291999999999995E-2</v>
      </c>
      <c r="F30">
        <v>0.11179</v>
      </c>
      <c r="K30" t="str">
        <f t="shared" ref="K30:K37" si="1">CONCATENATE(A30,"_median")</f>
        <v>Kag_median</v>
      </c>
      <c r="L30">
        <f t="shared" ref="L30:L37" si="2">D30</f>
        <v>7.2995000000000004E-2</v>
      </c>
    </row>
    <row r="31" spans="1:12">
      <c r="A31" t="s">
        <v>19</v>
      </c>
      <c r="B31">
        <v>6.7549999999999997E-3</v>
      </c>
      <c r="C31">
        <v>5.3731000000000001E-2</v>
      </c>
      <c r="D31">
        <v>9.6254000000000006E-2</v>
      </c>
      <c r="E31">
        <v>0.14784600000000001</v>
      </c>
      <c r="F31">
        <v>0.28788000000000002</v>
      </c>
      <c r="K31" t="str">
        <f t="shared" si="1"/>
        <v>Kai_median</v>
      </c>
      <c r="L31">
        <f t="shared" si="2"/>
        <v>9.6254000000000006E-2</v>
      </c>
    </row>
    <row r="32" spans="1:12">
      <c r="A32" t="s">
        <v>20</v>
      </c>
      <c r="B32">
        <v>2.9499999999999999E-3</v>
      </c>
      <c r="C32">
        <v>3.1446000000000002E-2</v>
      </c>
      <c r="D32">
        <v>7.0513999999999993E-2</v>
      </c>
      <c r="E32">
        <v>0.129688</v>
      </c>
      <c r="F32">
        <v>0.28570000000000001</v>
      </c>
      <c r="K32" t="str">
        <f t="shared" si="1"/>
        <v>Kga_median</v>
      </c>
      <c r="L32">
        <f t="shared" si="2"/>
        <v>7.0513999999999993E-2</v>
      </c>
    </row>
    <row r="33" spans="1:12">
      <c r="A33" t="s">
        <v>21</v>
      </c>
      <c r="B33">
        <v>8.8885000000000006E-2</v>
      </c>
      <c r="C33">
        <v>0.24529300000000001</v>
      </c>
      <c r="D33">
        <v>0.302257</v>
      </c>
      <c r="E33">
        <v>0.344111</v>
      </c>
      <c r="F33">
        <v>0.41860000000000003</v>
      </c>
      <c r="K33" t="str">
        <f t="shared" si="1"/>
        <v>Kgi_median</v>
      </c>
      <c r="L33">
        <f t="shared" si="2"/>
        <v>0.302257</v>
      </c>
    </row>
    <row r="34" spans="1:12">
      <c r="A34" t="s">
        <v>6</v>
      </c>
      <c r="B34">
        <v>7.5450000000000003E-2</v>
      </c>
      <c r="C34">
        <v>0.24618699999999999</v>
      </c>
      <c r="D34">
        <v>0.347742</v>
      </c>
      <c r="E34">
        <v>0.46071699999999999</v>
      </c>
      <c r="F34">
        <v>0.73823000000000005</v>
      </c>
      <c r="K34" t="str">
        <f t="shared" si="1"/>
        <v>Kia_median</v>
      </c>
      <c r="L34">
        <f t="shared" si="2"/>
        <v>0.347742</v>
      </c>
    </row>
    <row r="35" spans="1:12">
      <c r="A35" t="s">
        <v>22</v>
      </c>
      <c r="B35">
        <v>6.2969999999999996E-3</v>
      </c>
      <c r="C35">
        <v>4.7857999999999998E-2</v>
      </c>
      <c r="D35">
        <v>8.5642999999999997E-2</v>
      </c>
      <c r="E35">
        <v>0.13236000000000001</v>
      </c>
      <c r="F35">
        <v>0.25091999999999998</v>
      </c>
      <c r="K35" t="str">
        <f t="shared" si="1"/>
        <v>Kig_median</v>
      </c>
      <c r="L35">
        <f t="shared" si="2"/>
        <v>8.5642999999999997E-2</v>
      </c>
    </row>
    <row r="36" spans="1:12">
      <c r="A36" t="s">
        <v>64</v>
      </c>
      <c r="B36">
        <v>3.081E-3</v>
      </c>
      <c r="C36">
        <v>4.4019999999999997E-3</v>
      </c>
      <c r="D36">
        <v>5.5570000000000003E-3</v>
      </c>
      <c r="E36">
        <v>7.2740000000000001E-3</v>
      </c>
      <c r="F36">
        <v>1.3860000000000001E-2</v>
      </c>
      <c r="K36" t="str">
        <f t="shared" si="1"/>
        <v>sigmaG_median</v>
      </c>
      <c r="L36">
        <f t="shared" si="2"/>
        <v>5.5570000000000003E-3</v>
      </c>
    </row>
    <row r="37" spans="1:12">
      <c r="A37" t="s">
        <v>65</v>
      </c>
      <c r="B37">
        <v>1.0546E-2</v>
      </c>
      <c r="C37">
        <v>1.4929E-2</v>
      </c>
      <c r="D37">
        <v>1.8624000000000002E-2</v>
      </c>
      <c r="E37">
        <v>2.4008000000000002E-2</v>
      </c>
      <c r="F37">
        <v>4.3249999999999997E-2</v>
      </c>
      <c r="K37" t="str">
        <f t="shared" si="1"/>
        <v>sigmaI_median</v>
      </c>
      <c r="L37">
        <f t="shared" si="2"/>
        <v>1.8624000000000002E-2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>
      <c r="A44" t="s">
        <v>20</v>
      </c>
      <c r="B44">
        <v>1</v>
      </c>
      <c r="C44">
        <v>1.01</v>
      </c>
      <c r="K44" t="str">
        <f t="shared" si="3"/>
        <v>Kga_rhat</v>
      </c>
      <c r="L44">
        <f t="shared" si="4"/>
        <v>1</v>
      </c>
    </row>
    <row r="45" spans="1:12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</row>
    <row r="55" spans="1:12">
      <c r="B55">
        <v>5646.2510000000002</v>
      </c>
      <c r="C55">
        <v>6780.3040000000001</v>
      </c>
      <c r="D55">
        <v>2894.799</v>
      </c>
      <c r="E55">
        <v>3018.15</v>
      </c>
      <c r="F55">
        <v>5264.6639999999998</v>
      </c>
      <c r="G55">
        <v>3806.404</v>
      </c>
      <c r="H55">
        <v>24171.457999999999</v>
      </c>
    </row>
    <row r="56" spans="1:12">
      <c r="B56" t="s">
        <v>65</v>
      </c>
    </row>
    <row r="57" spans="1:12">
      <c r="A57">
        <v>17813.88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dimension ref="A1:L57"/>
  <sheetViews>
    <sheetView workbookViewId="0">
      <selection activeCell="Q25" sqref="Q25"/>
    </sheetView>
  </sheetViews>
  <sheetFormatPr defaultRowHeight="15"/>
  <cols>
    <col min="1" max="1" width="11.85546875" bestFit="1" customWidth="1"/>
    <col min="2" max="2" width="19.42578125" bestFit="1" customWidth="1"/>
    <col min="3" max="3" width="11.5703125" bestFit="1" customWidth="1"/>
    <col min="4" max="5" width="10" bestFit="1" customWidth="1"/>
    <col min="6" max="6" width="11.42578125" bestFit="1" customWidth="1"/>
    <col min="7" max="7" width="6.5703125" bestFit="1" customWidth="1"/>
    <col min="8" max="8" width="5.140625" bestFit="1" customWidth="1"/>
    <col min="9" max="9" width="8.7109375" bestFit="1" customWidth="1"/>
    <col min="12" max="12" width="10.5703125" bestFit="1" customWidth="1"/>
  </cols>
  <sheetData>
    <row r="1" spans="1:12">
      <c r="A1" t="s">
        <v>27</v>
      </c>
      <c r="B1" t="s">
        <v>28</v>
      </c>
      <c r="K1" t="s">
        <v>81</v>
      </c>
      <c r="L1" t="str">
        <f>B1</f>
        <v>Gauss</v>
      </c>
    </row>
    <row r="2" spans="1:12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>
      <c r="A3" t="s">
        <v>27</v>
      </c>
      <c r="B3">
        <v>10000</v>
      </c>
      <c r="K3" t="s">
        <v>83</v>
      </c>
      <c r="L3" s="4">
        <f>B3</f>
        <v>10000</v>
      </c>
    </row>
    <row r="4" spans="1:12">
      <c r="A4" t="s">
        <v>27</v>
      </c>
      <c r="B4">
        <v>1984</v>
      </c>
      <c r="K4" t="s">
        <v>84</v>
      </c>
      <c r="L4">
        <f>B4</f>
        <v>1984</v>
      </c>
    </row>
    <row r="5" spans="1:12">
      <c r="A5" t="s">
        <v>30</v>
      </c>
      <c r="B5" t="s">
        <v>31</v>
      </c>
      <c r="C5">
        <v>-78.5</v>
      </c>
      <c r="K5" t="s">
        <v>78</v>
      </c>
      <c r="L5">
        <f>C5</f>
        <v>-78.5</v>
      </c>
    </row>
    <row r="6" spans="1:12">
      <c r="A6" t="s">
        <v>32</v>
      </c>
      <c r="B6">
        <v>10.69</v>
      </c>
      <c r="K6" t="s">
        <v>79</v>
      </c>
      <c r="L6">
        <f>B6</f>
        <v>10.69</v>
      </c>
    </row>
    <row r="7" spans="1:12">
      <c r="A7" t="s">
        <v>33</v>
      </c>
      <c r="B7" t="s">
        <v>31</v>
      </c>
      <c r="C7">
        <v>-67.81</v>
      </c>
      <c r="K7" t="s">
        <v>80</v>
      </c>
      <c r="L7">
        <f>C7</f>
        <v>-67.81</v>
      </c>
    </row>
    <row r="9" spans="1:12">
      <c r="A9" t="s">
        <v>34</v>
      </c>
      <c r="B9" t="s">
        <v>0</v>
      </c>
      <c r="C9" t="s">
        <v>35</v>
      </c>
    </row>
    <row r="10" spans="1:12">
      <c r="A10" t="s">
        <v>36</v>
      </c>
      <c r="B10" t="s">
        <v>37</v>
      </c>
      <c r="C10" t="s">
        <v>0</v>
      </c>
      <c r="D10">
        <v>1</v>
      </c>
    </row>
    <row r="11" spans="1:12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>
        <v>10000</v>
      </c>
    </row>
    <row r="14" spans="1:12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>
      <c r="A18" t="s">
        <v>18</v>
      </c>
      <c r="B18">
        <v>4.8759999999999998E-2</v>
      </c>
      <c r="C18">
        <v>2.9984E-2</v>
      </c>
      <c r="D18" s="2">
        <v>1.2239999999999999E-4</v>
      </c>
      <c r="E18">
        <v>4.5419999999999998E-4</v>
      </c>
      <c r="K18" t="str">
        <f>A18</f>
        <v>Kag</v>
      </c>
      <c r="L18">
        <f>B18</f>
        <v>4.8759999999999998E-2</v>
      </c>
    </row>
    <row r="19" spans="1:12">
      <c r="A19" t="s">
        <v>19</v>
      </c>
      <c r="B19">
        <v>0.11176</v>
      </c>
      <c r="C19">
        <v>7.6701000000000005E-2</v>
      </c>
      <c r="D19" s="2">
        <v>3.1310000000000002E-4</v>
      </c>
      <c r="E19">
        <v>2.3944999999999999E-3</v>
      </c>
      <c r="K19" t="str">
        <f t="shared" ref="K19:L25" si="0">A19</f>
        <v>Kai</v>
      </c>
      <c r="L19">
        <f t="shared" si="0"/>
        <v>0.11176</v>
      </c>
    </row>
    <row r="20" spans="1:12">
      <c r="A20" t="s">
        <v>20</v>
      </c>
      <c r="B20">
        <v>0.1164</v>
      </c>
      <c r="C20">
        <v>8.2857E-2</v>
      </c>
      <c r="D20" s="2">
        <v>3.3829999999999998E-4</v>
      </c>
      <c r="E20">
        <v>1.8636E-3</v>
      </c>
      <c r="K20" t="str">
        <f t="shared" si="0"/>
        <v>Kga</v>
      </c>
      <c r="L20">
        <f t="shared" si="0"/>
        <v>0.1164</v>
      </c>
    </row>
    <row r="21" spans="1:12">
      <c r="A21" t="s">
        <v>21</v>
      </c>
      <c r="B21">
        <v>0.20612</v>
      </c>
      <c r="C21">
        <v>7.7634999999999996E-2</v>
      </c>
      <c r="D21" s="2">
        <v>3.1690000000000001E-4</v>
      </c>
      <c r="E21">
        <v>1.8420000000000001E-3</v>
      </c>
      <c r="K21" t="str">
        <f t="shared" si="0"/>
        <v>Kgi</v>
      </c>
      <c r="L21">
        <f t="shared" si="0"/>
        <v>0.20612</v>
      </c>
    </row>
    <row r="22" spans="1:12">
      <c r="A22" t="s">
        <v>6</v>
      </c>
      <c r="B22">
        <v>0.31219000000000002</v>
      </c>
      <c r="C22">
        <v>0.17380499999999999</v>
      </c>
      <c r="D22" s="2">
        <v>7.0960000000000001E-4</v>
      </c>
      <c r="E22">
        <v>6.0663999999999996E-3</v>
      </c>
      <c r="K22" t="str">
        <f t="shared" si="0"/>
        <v>Kia</v>
      </c>
      <c r="L22">
        <f t="shared" si="0"/>
        <v>0.31219000000000002</v>
      </c>
    </row>
    <row r="23" spans="1:12">
      <c r="A23" t="s">
        <v>22</v>
      </c>
      <c r="B23">
        <v>8.1210000000000004E-2</v>
      </c>
      <c r="C23">
        <v>6.4486000000000002E-2</v>
      </c>
      <c r="D23" s="2">
        <v>2.633E-4</v>
      </c>
      <c r="E23">
        <v>1.4239000000000001E-3</v>
      </c>
      <c r="K23" t="str">
        <f t="shared" si="0"/>
        <v>Kig</v>
      </c>
      <c r="L23">
        <f t="shared" si="0"/>
        <v>8.1210000000000004E-2</v>
      </c>
    </row>
    <row r="24" spans="1:12">
      <c r="A24" t="s">
        <v>64</v>
      </c>
      <c r="B24">
        <v>2.145E-2</v>
      </c>
      <c r="C24">
        <v>9.3170000000000006E-3</v>
      </c>
      <c r="D24" s="2">
        <v>3.8040000000000002E-5</v>
      </c>
      <c r="E24">
        <v>1.138E-4</v>
      </c>
      <c r="K24" t="str">
        <f t="shared" si="0"/>
        <v>sigmaG</v>
      </c>
      <c r="L24">
        <f t="shared" si="0"/>
        <v>2.145E-2</v>
      </c>
    </row>
    <row r="25" spans="1:12">
      <c r="A25" t="s">
        <v>65</v>
      </c>
      <c r="B25">
        <v>2.6450000000000001E-2</v>
      </c>
      <c r="C25">
        <v>1.077E-2</v>
      </c>
      <c r="D25" s="2">
        <v>4.3970000000000001E-5</v>
      </c>
      <c r="E25">
        <v>1.36E-4</v>
      </c>
      <c r="K25" t="str">
        <f t="shared" si="0"/>
        <v>sigmaI</v>
      </c>
      <c r="L25">
        <f t="shared" si="0"/>
        <v>2.6450000000000001E-2</v>
      </c>
    </row>
    <row r="27" spans="1:12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>
      <c r="A30" t="s">
        <v>18</v>
      </c>
      <c r="B30">
        <v>3.2139999999999998E-3</v>
      </c>
      <c r="C30">
        <v>2.6100000000000002E-2</v>
      </c>
      <c r="D30">
        <v>4.6030000000000001E-2</v>
      </c>
      <c r="E30">
        <v>6.7089999999999997E-2</v>
      </c>
      <c r="F30">
        <v>0.11497</v>
      </c>
      <c r="K30" t="str">
        <f t="shared" ref="K30:K37" si="1">CONCATENATE(A30,"_median")</f>
        <v>Kag_median</v>
      </c>
      <c r="L30">
        <f t="shared" ref="L30:L37" si="2">D30</f>
        <v>4.6030000000000001E-2</v>
      </c>
    </row>
    <row r="31" spans="1:12">
      <c r="A31" t="s">
        <v>19</v>
      </c>
      <c r="B31">
        <v>6.7590000000000003E-3</v>
      </c>
      <c r="C31">
        <v>5.3109999999999997E-2</v>
      </c>
      <c r="D31">
        <v>9.8900000000000002E-2</v>
      </c>
      <c r="E31">
        <v>0.15476999999999999</v>
      </c>
      <c r="F31">
        <v>0.29254000000000002</v>
      </c>
      <c r="K31" t="str">
        <f t="shared" si="1"/>
        <v>Kai_median</v>
      </c>
      <c r="L31">
        <f t="shared" si="2"/>
        <v>9.8900000000000002E-2</v>
      </c>
    </row>
    <row r="32" spans="1:12">
      <c r="A32" t="s">
        <v>20</v>
      </c>
      <c r="B32">
        <v>5.6389999999999999E-3</v>
      </c>
      <c r="C32">
        <v>5.0680000000000003E-2</v>
      </c>
      <c r="D32">
        <v>0.10255</v>
      </c>
      <c r="E32">
        <v>0.16666</v>
      </c>
      <c r="F32">
        <v>0.30536000000000002</v>
      </c>
      <c r="K32" t="str">
        <f t="shared" si="1"/>
        <v>Kga_median</v>
      </c>
      <c r="L32">
        <f t="shared" si="2"/>
        <v>0.10255</v>
      </c>
    </row>
    <row r="33" spans="1:12">
      <c r="A33" t="s">
        <v>21</v>
      </c>
      <c r="B33">
        <v>4.4845999999999997E-2</v>
      </c>
      <c r="C33">
        <v>0.15554000000000001</v>
      </c>
      <c r="D33">
        <v>0.21007999999999999</v>
      </c>
      <c r="E33">
        <v>0.25842999999999999</v>
      </c>
      <c r="F33">
        <v>0.35154999999999997</v>
      </c>
      <c r="K33" t="str">
        <f t="shared" si="1"/>
        <v>Kgi_median</v>
      </c>
      <c r="L33">
        <f t="shared" si="2"/>
        <v>0.21007999999999999</v>
      </c>
    </row>
    <row r="34" spans="1:12">
      <c r="A34" t="s">
        <v>6</v>
      </c>
      <c r="B34">
        <v>3.5610999999999997E-2</v>
      </c>
      <c r="C34">
        <v>0.18239</v>
      </c>
      <c r="D34">
        <v>0.29115000000000002</v>
      </c>
      <c r="E34">
        <v>0.41971000000000003</v>
      </c>
      <c r="F34">
        <v>0.70513999999999999</v>
      </c>
      <c r="K34" t="str">
        <f t="shared" si="1"/>
        <v>Kia_median</v>
      </c>
      <c r="L34">
        <f t="shared" si="2"/>
        <v>0.29115000000000002</v>
      </c>
    </row>
    <row r="35" spans="1:12">
      <c r="A35" t="s">
        <v>22</v>
      </c>
      <c r="B35">
        <v>2.771E-3</v>
      </c>
      <c r="C35">
        <v>2.997E-2</v>
      </c>
      <c r="D35">
        <v>6.6650000000000001E-2</v>
      </c>
      <c r="E35">
        <v>0.11822000000000001</v>
      </c>
      <c r="F35">
        <v>0.23530999999999999</v>
      </c>
      <c r="K35" t="str">
        <f t="shared" si="1"/>
        <v>Kig_median</v>
      </c>
      <c r="L35">
        <f t="shared" si="2"/>
        <v>6.6650000000000001E-2</v>
      </c>
    </row>
    <row r="36" spans="1:12">
      <c r="A36" t="s">
        <v>64</v>
      </c>
      <c r="B36">
        <v>1.0988E-2</v>
      </c>
      <c r="C36">
        <v>1.554E-2</v>
      </c>
      <c r="D36">
        <v>1.9269999999999999E-2</v>
      </c>
      <c r="E36">
        <v>2.478E-2</v>
      </c>
      <c r="F36">
        <v>4.4359999999999997E-2</v>
      </c>
      <c r="K36" t="str">
        <f t="shared" si="1"/>
        <v>sigmaG_median</v>
      </c>
      <c r="L36">
        <f t="shared" si="2"/>
        <v>1.9269999999999999E-2</v>
      </c>
    </row>
    <row r="37" spans="1:12">
      <c r="A37" t="s">
        <v>65</v>
      </c>
      <c r="B37">
        <v>1.3762E-2</v>
      </c>
      <c r="C37">
        <v>1.9290000000000002E-2</v>
      </c>
      <c r="D37">
        <v>2.3939999999999999E-2</v>
      </c>
      <c r="E37">
        <v>3.0589999999999999E-2</v>
      </c>
      <c r="F37">
        <v>5.4120000000000001E-2</v>
      </c>
      <c r="K37" t="str">
        <f t="shared" si="1"/>
        <v>sigmaI_median</v>
      </c>
      <c r="L37">
        <f t="shared" si="2"/>
        <v>2.3939999999999999E-2</v>
      </c>
    </row>
    <row r="39" spans="1:12">
      <c r="A39" t="s">
        <v>68</v>
      </c>
      <c r="B39" t="s">
        <v>69</v>
      </c>
      <c r="C39" t="s">
        <v>70</v>
      </c>
      <c r="D39" t="s">
        <v>71</v>
      </c>
    </row>
    <row r="41" spans="1:12">
      <c r="B41" t="s">
        <v>72</v>
      </c>
      <c r="C41" t="s">
        <v>73</v>
      </c>
      <c r="D41" t="s">
        <v>74</v>
      </c>
      <c r="E41" t="s">
        <v>75</v>
      </c>
    </row>
    <row r="42" spans="1:12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>
      <c r="A47" t="s">
        <v>22</v>
      </c>
      <c r="B47">
        <v>1</v>
      </c>
      <c r="C47">
        <v>1.01</v>
      </c>
      <c r="K47" t="str">
        <f t="shared" si="3"/>
        <v>Kig_rhat</v>
      </c>
      <c r="L47">
        <f t="shared" si="4"/>
        <v>1</v>
      </c>
    </row>
    <row r="48" spans="1:12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>
      <c r="A51" t="s">
        <v>76</v>
      </c>
      <c r="B51" t="s">
        <v>77</v>
      </c>
    </row>
    <row r="53" spans="1:12">
      <c r="A53">
        <v>1</v>
      </c>
      <c r="K53" t="s">
        <v>85</v>
      </c>
      <c r="L53">
        <f>A53</f>
        <v>1</v>
      </c>
    </row>
    <row r="54" spans="1:12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</row>
    <row r="55" spans="1:12">
      <c r="A55">
        <v>4485.6469999999999</v>
      </c>
      <c r="B55">
        <v>1048.7164</v>
      </c>
      <c r="C55">
        <v>2032.0127</v>
      </c>
      <c r="D55">
        <v>1779.8542</v>
      </c>
      <c r="E55">
        <v>834.51670000000001</v>
      </c>
      <c r="F55">
        <v>2096.9205000000002</v>
      </c>
    </row>
    <row r="56" spans="1:12">
      <c r="B56" t="s">
        <v>64</v>
      </c>
      <c r="C56" t="s">
        <v>65</v>
      </c>
    </row>
    <row r="57" spans="1:12">
      <c r="A57">
        <v>7443.1732000000002</v>
      </c>
      <c r="B57">
        <v>6634.2870999999996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Combine</vt:lpstr>
      <vt:lpstr>Diffusion</vt:lpstr>
      <vt:lpstr>Contagion</vt:lpstr>
      <vt:lpstr>Hybrid</vt:lpstr>
      <vt:lpstr>H.1980</vt:lpstr>
      <vt:lpstr>H.1981</vt:lpstr>
      <vt:lpstr>H.1982</vt:lpstr>
      <vt:lpstr>H.1983</vt:lpstr>
      <vt:lpstr>H.1984</vt:lpstr>
      <vt:lpstr>C.1980</vt:lpstr>
      <vt:lpstr>C.1981</vt:lpstr>
      <vt:lpstr>C.1982</vt:lpstr>
      <vt:lpstr>C.1983</vt:lpstr>
      <vt:lpstr>C.1984</vt:lpstr>
      <vt:lpstr>D.1980</vt:lpstr>
      <vt:lpstr>D.1981</vt:lpstr>
      <vt:lpstr>D.1982</vt:lpstr>
      <vt:lpstr>D.1983</vt:lpstr>
      <vt:lpstr>D.1984</vt:lpstr>
      <vt:lpstr>C.1980!_1980solution</vt:lpstr>
      <vt:lpstr>D.1980!_1980solution</vt:lpstr>
      <vt:lpstr>H.1980!_1980solution</vt:lpstr>
      <vt:lpstr>C.1981!_1981solution</vt:lpstr>
      <vt:lpstr>D.1981!_1981solution</vt:lpstr>
      <vt:lpstr>H.1981!_1981solution</vt:lpstr>
      <vt:lpstr>C.1982!_1982solution</vt:lpstr>
      <vt:lpstr>D.1982!_1982solution</vt:lpstr>
      <vt:lpstr>H.1982!_1982solution</vt:lpstr>
      <vt:lpstr>C.1983!_1983solution</vt:lpstr>
      <vt:lpstr>D.1983!_1983solution</vt:lpstr>
      <vt:lpstr>H.1983!_1983solution</vt:lpstr>
      <vt:lpstr>C.1984!_1984solution</vt:lpstr>
      <vt:lpstr>D.1984!_1984solution</vt:lpstr>
      <vt:lpstr>H.1984!_1984solution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2013-02-28T15:06:49Z</dcterms:modified>
</cp:coreProperties>
</file>